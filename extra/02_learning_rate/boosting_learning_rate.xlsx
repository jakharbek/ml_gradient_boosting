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Теория" sheetId="2" state="visible" r:id="rId2"/>
    <sheet xmlns:r="http://schemas.openxmlformats.org/officeDocument/2006/relationships" name="Шаги" sheetId="3" state="visible" r:id="rId3"/>
    <sheet xmlns:r="http://schemas.openxmlformats.org/officeDocument/2006/relationships" name="Сводка" sheetId="4" state="visible" r:id="rId4"/>
  </sheets>
  <definedNames>
    <definedName name="LR">Шаги!$D$8</definedName>
    <definedName name="F0">Шаги!$E$16</definedName>
    <definedName name="_xlnm.Print_Titles" localSheetId="2">'Шаги'!$1:$5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0"/>
    <numFmt numFmtId="165" formatCode="#,##0.00;[Red]-#,##0.00;0"/>
    <numFmt numFmtId="166" formatCode="0.00&quot;×&quot;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1F3864"/>
      <sz val="16"/>
    </font>
    <font>
      <name val="Arial"/>
      <color rgb="002E75B6"/>
      <sz val="10"/>
      <u val="single"/>
    </font>
    <font>
      <name val="Arial"/>
      <b val="1"/>
      <color rgb="00FFFFFF"/>
      <sz val="12"/>
    </font>
    <font>
      <name val="Arial"/>
      <sz val="10"/>
    </font>
    <font>
      <name val="Cambria Math"/>
      <b val="1"/>
      <color rgb="001F3864"/>
      <sz val="12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b val="1"/>
    </font>
    <font>
      <name val="Arial"/>
      <b val="1"/>
      <color rgb="00006100"/>
      <sz val="10"/>
    </font>
    <font>
      <name val="Arial"/>
      <color rgb="003B3B3B"/>
      <sz val="9"/>
    </font>
    <font>
      <name val="Arial"/>
      <b val="1"/>
      <color rgb="00FFFFFF"/>
      <sz val="11"/>
    </font>
    <font>
      <name val="Arial"/>
      <b val="1"/>
      <color rgb="00006100"/>
      <sz val="11"/>
    </font>
    <font>
      <name val="Arial"/>
      <b val="1"/>
      <color rgb="002E75B6"/>
      <sz val="11"/>
      <u val="single"/>
    </font>
    <font>
      <name val="Arial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F0D9"/>
      </patternFill>
    </fill>
    <fill>
      <patternFill patternType="solid">
        <fgColor rgb="00FBF7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E8DCC0"/>
      </left>
      <right style="thin">
        <color rgb="00E8DCC0"/>
      </right>
      <top style="thin">
        <color rgb="00E8DCC0"/>
      </top>
      <bottom style="thin">
        <color rgb="00E8DC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5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3" borderId="1" applyAlignment="1" pivotButton="0" quotePrefix="0" xfId="0">
      <alignment horizontal="left" vertical="center" indent="1"/>
    </xf>
    <xf numFmtId="2" fontId="11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5" fontId="14" fillId="6" borderId="1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top" wrapText="1" indent="1"/>
    </xf>
    <xf numFmtId="0" fontId="16" fillId="5" borderId="1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indent="1"/>
    </xf>
    <xf numFmtId="165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E2F0D9"/>
        </patternFill>
      </fill>
    </dxf>
    <dxf>
      <font>
        <name val="Arial"/>
        <b val="1"/>
        <color rgb="002E75B6"/>
      </font>
      <fill>
        <patternFill patternType="solid">
          <fgColor rgb="00DEEAF6"/>
        </patternFill>
      </fill>
    </dxf>
    <dxf>
      <font>
        <name val="Arial"/>
        <b val="1"/>
        <color rgb="00C55A11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Σ|остатков| по шагам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'Сводка'!D8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'Сводка'!$B$9:$B$29</f>
            </numRef>
          </cat>
          <val>
            <numRef>
              <f>'Сводка'!$D$9:$D$29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шаг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Σ|rᵢ|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Σ|остатков|, логарифмическая шкала (прямая = геометрическое убывание)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'Сводка'!D8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'Сводка'!$B$9:$B$29</f>
            </numRef>
          </cat>
          <val>
            <numRef>
              <f>'Сводка'!$D$9:$D$29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шаг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Σ|rᵢ| (log)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Предсказания F_m(xᵢ) сходятся к реальным ценам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'Сводка'!H8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'Сводка'!$B$9:$B$29</f>
            </numRef>
          </cat>
          <val>
            <numRef>
              <f>'Сводка'!$H$9:$H$29</f>
            </numRef>
          </val>
        </ser>
        <ser>
          <idx val="1"/>
          <order val="1"/>
          <tx>
            <strRef>
              <f>'Сводка'!I8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'Сводка'!$B$9:$B$29</f>
            </numRef>
          </cat>
          <val>
            <numRef>
              <f>'Сводка'!$I$9:$I$29</f>
            </numRef>
          </val>
        </ser>
        <ser>
          <idx val="2"/>
          <order val="2"/>
          <tx>
            <strRef>
              <f>'Сводка'!J8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'Сводка'!$B$9:$B$29</f>
            </numRef>
          </cat>
          <val>
            <numRef>
              <f>'Сводка'!$J$9:$J$29</f>
            </numRef>
          </val>
        </ser>
        <ser>
          <idx val="3"/>
          <order val="3"/>
          <tx>
            <strRef>
              <f>'Сводка'!K8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'Сводка'!$B$9:$B$29</f>
            </numRef>
          </cat>
          <val>
            <numRef>
              <f>'Сводка'!$K$9:$K$29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шаг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цена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Размер поправки |ν·h_m| на каждом шаге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'Сводка'!$B$9:$B$29</f>
            </numRef>
          </cat>
          <val>
            <numRef>
              <f>'Сводка'!$L$9:$L$29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шаг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|ν·h|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32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70" customWidth="1" min="3" max="3"/>
  </cols>
  <sheetData>
    <row r="2" ht="34" customHeight="1">
      <c r="B2" s="1" t="inlineStr">
        <is>
          <t>Градиентный бустинг с learning rate — 20 шагов</t>
        </is>
      </c>
    </row>
    <row r="3" ht="34" customHeight="1">
      <c r="B3" s="2" t="inlineStr">
        <is>
          <t>Учебное пособие в Excel: один пример (четыре ноутбука), один параметр ν, двадцать шагов — и у каждого числа есть формула, обоснование и живой пересчёт. Жёлтые ячейки — входы; всё остальное считается формулами.</t>
        </is>
      </c>
    </row>
    <row r="6" ht="24" customHeight="1">
      <c r="B6" s="3" t="inlineStr">
        <is>
          <t>Листы пособия</t>
        </is>
      </c>
    </row>
    <row r="8" ht="30" customHeight="1">
      <c r="B8" s="4" t="inlineStr">
        <is>
          <t>Теория</t>
        </is>
      </c>
      <c r="C8" s="5" t="inlineStr">
        <is>
          <t>Вывод каждой формулы: почему среднее, почему остаток — антиградиент, критерий выбора колонки, learning rate, сходимость, правила остановки.</t>
        </is>
      </c>
    </row>
    <row r="9" ht="30" customHeight="1">
      <c r="B9" s="4" t="inlineStr">
        <is>
          <t>Сводка</t>
        </is>
      </c>
      <c r="C9" s="5" t="inlineStr">
        <is>
          <t>Таблица по 20 шагам с условным форматированием, четыре графика (включая логарифмическую шкалу), ссылки на каждый шаг.</t>
        </is>
      </c>
    </row>
    <row r="10" ht="30" customHeight="1">
      <c r="B10" s="4" t="inlineStr">
        <is>
          <t>Шаги</t>
        </is>
      </c>
      <c r="C10" s="5" t="inlineStr">
        <is>
          <t>Параметры (ν, цены) и 20 сворачиваемых блоков: этапы A–D, у каждой таблицы — живое пояснение с формулой и числами.</t>
        </is>
      </c>
    </row>
    <row r="12" ht="24" customHeight="1">
      <c r="B12" s="3" t="inlineStr">
        <is>
          <t>Быстрые переходы к шагам</t>
        </is>
      </c>
    </row>
    <row r="14">
      <c r="B14" s="6" t="inlineStr">
        <is>
          <t>Шаг 1</t>
        </is>
      </c>
      <c r="C14" s="7">
        <f>"выбрана колонка: "&amp;Шаги!$E$41&amp;",  Σ|rᵢ| после шага = "&amp;TEXT(Шаги!I51,"0.####")</f>
        <v/>
      </c>
    </row>
    <row r="15">
      <c r="B15" s="6" t="inlineStr">
        <is>
          <t>Шаг 2</t>
        </is>
      </c>
      <c r="C15" s="7">
        <f>"выбрана колонка: "&amp;Шаги!$E$75&amp;",  Σ|rᵢ| после шага = "&amp;TEXT(Шаги!I85,"0.####")</f>
        <v/>
      </c>
    </row>
    <row r="16">
      <c r="B16" s="6" t="inlineStr">
        <is>
          <t>Шаг 3</t>
        </is>
      </c>
      <c r="C16" s="7">
        <f>"выбрана колонка: "&amp;Шаги!$E$109&amp;",  Σ|rᵢ| после шага = "&amp;TEXT(Шаги!I119,"0.####")</f>
        <v/>
      </c>
    </row>
    <row r="17">
      <c r="B17" s="6" t="inlineStr">
        <is>
          <t>Шаг 4</t>
        </is>
      </c>
      <c r="C17" s="7">
        <f>"выбрана колонка: "&amp;Шаги!$E$143&amp;",  Σ|rᵢ| после шага = "&amp;TEXT(Шаги!I153,"0.####")</f>
        <v/>
      </c>
    </row>
    <row r="18">
      <c r="B18" s="6" t="inlineStr">
        <is>
          <t>Шаг 5</t>
        </is>
      </c>
      <c r="C18" s="7">
        <f>"выбрана колонка: "&amp;Шаги!$E$177&amp;",  Σ|rᵢ| после шага = "&amp;TEXT(Шаги!I187,"0.####")</f>
        <v/>
      </c>
    </row>
    <row r="19">
      <c r="B19" s="6" t="inlineStr">
        <is>
          <t>Шаг 6</t>
        </is>
      </c>
      <c r="C19" s="7">
        <f>"выбрана колонка: "&amp;Шаги!$E$211&amp;",  Σ|rᵢ| после шага = "&amp;TEXT(Шаги!I221,"0.####")</f>
        <v/>
      </c>
    </row>
    <row r="20">
      <c r="B20" s="6" t="inlineStr">
        <is>
          <t>Шаг 7</t>
        </is>
      </c>
      <c r="C20" s="7">
        <f>"выбрана колонка: "&amp;Шаги!$E$245&amp;",  Σ|rᵢ| после шага = "&amp;TEXT(Шаги!I255,"0.####")</f>
        <v/>
      </c>
    </row>
    <row r="21">
      <c r="B21" s="6" t="inlineStr">
        <is>
          <t>Шаг 8</t>
        </is>
      </c>
      <c r="C21" s="7">
        <f>"выбрана колонка: "&amp;Шаги!$E$279&amp;",  Σ|rᵢ| после шага = "&amp;TEXT(Шаги!I289,"0.####")</f>
        <v/>
      </c>
    </row>
    <row r="22">
      <c r="B22" s="6" t="inlineStr">
        <is>
          <t>Шаг 9</t>
        </is>
      </c>
      <c r="C22" s="7">
        <f>"выбрана колонка: "&amp;Шаги!$E$313&amp;",  Σ|rᵢ| после шага = "&amp;TEXT(Шаги!I323,"0.####")</f>
        <v/>
      </c>
    </row>
    <row r="23">
      <c r="B23" s="6" t="inlineStr">
        <is>
          <t>Шаг 10</t>
        </is>
      </c>
      <c r="C23" s="7">
        <f>"выбрана колонка: "&amp;Шаги!$E$347&amp;",  Σ|rᵢ| после шага = "&amp;TEXT(Шаги!I357,"0.####")</f>
        <v/>
      </c>
    </row>
    <row r="24">
      <c r="B24" s="6" t="inlineStr">
        <is>
          <t>Шаг 11</t>
        </is>
      </c>
      <c r="C24" s="7">
        <f>"выбрана колонка: "&amp;Шаги!$E$381&amp;",  Σ|rᵢ| после шага = "&amp;TEXT(Шаги!I391,"0.####")</f>
        <v/>
      </c>
    </row>
    <row r="25">
      <c r="B25" s="6" t="inlineStr">
        <is>
          <t>Шаг 12</t>
        </is>
      </c>
      <c r="C25" s="7">
        <f>"выбрана колонка: "&amp;Шаги!$E$415&amp;",  Σ|rᵢ| после шага = "&amp;TEXT(Шаги!I425,"0.####")</f>
        <v/>
      </c>
    </row>
    <row r="26">
      <c r="B26" s="6" t="inlineStr">
        <is>
          <t>Шаг 13</t>
        </is>
      </c>
      <c r="C26" s="7">
        <f>"выбрана колонка: "&amp;Шаги!$E$449&amp;",  Σ|rᵢ| после шага = "&amp;TEXT(Шаги!I459,"0.####")</f>
        <v/>
      </c>
    </row>
    <row r="27">
      <c r="B27" s="6" t="inlineStr">
        <is>
          <t>Шаг 14</t>
        </is>
      </c>
      <c r="C27" s="7">
        <f>"выбрана колонка: "&amp;Шаги!$E$483&amp;",  Σ|rᵢ| после шага = "&amp;TEXT(Шаги!I493,"0.####")</f>
        <v/>
      </c>
    </row>
    <row r="28">
      <c r="B28" s="6" t="inlineStr">
        <is>
          <t>Шаг 15</t>
        </is>
      </c>
      <c r="C28" s="7">
        <f>"выбрана колонка: "&amp;Шаги!$E$517&amp;",  Σ|rᵢ| после шага = "&amp;TEXT(Шаги!I527,"0.####")</f>
        <v/>
      </c>
    </row>
    <row r="29">
      <c r="B29" s="6" t="inlineStr">
        <is>
          <t>Шаг 16</t>
        </is>
      </c>
      <c r="C29" s="7">
        <f>"выбрана колонка: "&amp;Шаги!$E$551&amp;",  Σ|rᵢ| после шага = "&amp;TEXT(Шаги!I561,"0.####")</f>
        <v/>
      </c>
    </row>
    <row r="30">
      <c r="B30" s="6" t="inlineStr">
        <is>
          <t>Шаг 17</t>
        </is>
      </c>
      <c r="C30" s="7">
        <f>"выбрана колонка: "&amp;Шаги!$E$585&amp;",  Σ|rᵢ| после шага = "&amp;TEXT(Шаги!I595,"0.####")</f>
        <v/>
      </c>
    </row>
    <row r="31">
      <c r="B31" s="6" t="inlineStr">
        <is>
          <t>Шаг 18</t>
        </is>
      </c>
      <c r="C31" s="7">
        <f>"выбрана колонка: "&amp;Шаги!$E$619&amp;",  Σ|rᵢ| после шага = "&amp;TEXT(Шаги!I629,"0.####")</f>
        <v/>
      </c>
    </row>
    <row r="32">
      <c r="B32" s="6" t="inlineStr">
        <is>
          <t>Шаг 19</t>
        </is>
      </c>
      <c r="C32" s="7">
        <f>"выбрана колонка: "&amp;Шаги!$E$653&amp;",  Σ|rᵢ| после шага = "&amp;TEXT(Шаги!I663,"0.####")</f>
        <v/>
      </c>
    </row>
    <row r="33">
      <c r="B33" s="6" t="inlineStr">
        <is>
          <t>Шаг 20</t>
        </is>
      </c>
      <c r="C33" s="7">
        <f>"выбрана колонка: "&amp;Шаги!$E$687&amp;",  Σ|rᵢ| после шага = "&amp;TEXT(Шаги!I697,"0.####")</f>
        <v/>
      </c>
    </row>
    <row r="35" ht="24" customHeight="1">
      <c r="B35" s="3" t="inlineStr">
        <is>
          <t>Как пользоваться</t>
        </is>
      </c>
    </row>
    <row r="37" ht="30" customHeight="1">
      <c r="B37" s="8" t="inlineStr">
        <is>
          <t>•</t>
        </is>
      </c>
      <c r="C37" s="5" t="inlineStr">
        <is>
          <t>Жёлтые ячейки на листе «Шаги» — единственные входы: цены четырёх ноутбуков и learning rate ν (проверка: 0.01 ≤ ν ≤ 1).</t>
        </is>
      </c>
    </row>
    <row r="38" ht="30" customHeight="1">
      <c r="B38" s="8" t="inlineStr">
        <is>
          <t>•</t>
        </is>
      </c>
      <c r="C38" s="5" t="inlineStr">
        <is>
          <t>Зелёные ячейки — ключевые результаты этапа. Бежевые строки — пояснения: это формулы, они пересчитываются вместе с таблицами.</t>
        </is>
      </c>
    </row>
    <row r="39" ht="30" customHeight="1">
      <c r="B39" s="8" t="inlineStr">
        <is>
          <t>•</t>
        </is>
      </c>
      <c r="C39" s="5" t="inlineStr">
        <is>
          <t>Кнопки «−/+» слева от строк на листе «Шаги» сворачивают блок шага; кнопки «1/2» над ними — все блоки сразу.</t>
        </is>
      </c>
    </row>
    <row r="40" ht="30" customHeight="1">
      <c r="B40" s="8" t="inlineStr">
        <is>
          <t>•</t>
        </is>
      </c>
      <c r="C40" s="5" t="inlineStr">
        <is>
          <t>Поставьте ν = 1 и убедитесь, что получаются ровно два шага исходного примера; ν = 0.1 — и посмотрите, сколько шагов экран держится в лидерах.</t>
        </is>
      </c>
    </row>
  </sheetData>
  <mergeCells count="4">
    <mergeCell ref="B3:H3"/>
    <mergeCell ref="B6:H6"/>
    <mergeCell ref="B35:H35"/>
    <mergeCell ref="B12:H12"/>
  </mergeCells>
  <hyperlinks>
    <hyperlink ref="B8" location="'Теория'!A1" display="Теория"/>
    <hyperlink ref="B9" location="'Сводка'!A1" display="Сводка"/>
    <hyperlink ref="B10" location="'Шаги'!A1" display="Шаги"/>
    <hyperlink ref="B14" location="'Шаги'!B19" display="Шаг 1"/>
    <hyperlink ref="B15" location="'Шаги'!B53" display="Шаг 2"/>
    <hyperlink ref="B16" location="'Шаги'!B87" display="Шаг 3"/>
    <hyperlink ref="B17" location="'Шаги'!B121" display="Шаг 4"/>
    <hyperlink ref="B18" location="'Шаги'!B155" display="Шаг 5"/>
    <hyperlink ref="B19" location="'Шаги'!B189" display="Шаг 6"/>
    <hyperlink ref="B20" location="'Шаги'!B223" display="Шаг 7"/>
    <hyperlink ref="B21" location="'Шаги'!B257" display="Шаг 8"/>
    <hyperlink ref="B22" location="'Шаги'!B291" display="Шаг 9"/>
    <hyperlink ref="B23" location="'Шаги'!B325" display="Шаг 10"/>
    <hyperlink ref="B24" location="'Шаги'!B359" display="Шаг 11"/>
    <hyperlink ref="B25" location="'Шаги'!B393" display="Шаг 12"/>
    <hyperlink ref="B26" location="'Шаги'!B427" display="Шаг 13"/>
    <hyperlink ref="B27" location="'Шаги'!B461" display="Шаг 14"/>
    <hyperlink ref="B28" location="'Шаги'!B495" display="Шаг 15"/>
    <hyperlink ref="B29" location="'Шаги'!B529" display="Шаг 16"/>
    <hyperlink ref="B30" location="'Шаги'!B563" display="Шаг 17"/>
    <hyperlink ref="B31" location="'Шаги'!B597" display="Шаг 18"/>
    <hyperlink ref="B32" location="'Шаги'!B631" display="Шаг 19"/>
    <hyperlink ref="B33" location="'Шаги'!B665" display="Шаг 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8" customWidth="1" min="2" max="2"/>
  </cols>
  <sheetData>
    <row r="2" ht="30" customHeight="1">
      <c r="B2" s="9" t="inlineStr">
        <is>
          <t>Математическое основание каждого расчёта</t>
        </is>
      </c>
    </row>
    <row r="3">
      <c r="B3" s="6" t="inlineStr">
        <is>
          <t>← Содержание</t>
        </is>
      </c>
    </row>
    <row r="5" ht="24" customHeight="1">
      <c r="B5" s="3" t="inlineStr">
        <is>
          <t>1. Постановка задачи</t>
        </is>
      </c>
    </row>
    <row r="6" ht="30" customHeight="1">
      <c r="B6" s="5" t="inlineStr">
        <is>
          <t>Есть n = 4 объекта (ноутбуки A, B, C, D) с признаками x (экран, SSD) и целевой переменной y (реальная цена). Строим функцию F(x), прогноз ŷ = F(x), и хотим, чтобы прогноз был как можно ближе к y на всех объектах сразу.</t>
        </is>
      </c>
    </row>
    <row r="7" ht="30" customHeight="1">
      <c r="B7" s="5" t="inlineStr">
        <is>
          <t>«Как можно ближе» измеряет функция потерь. Здесь — квадратичная: L(y, F) = ½·(y − F)². Она гладкая (есть производная), штрафует большие промахи сильнее малых, и у её минимума простой ответ — среднее (раздел 2).</t>
        </is>
      </c>
    </row>
    <row r="9" ht="24" customHeight="1">
      <c r="B9" s="3" t="inlineStr">
        <is>
          <t>2. Шаг 0: почему стартовое предсказание — среднее</t>
        </is>
      </c>
    </row>
    <row r="10" ht="15" customHeight="1">
      <c r="B10" s="5" t="inlineStr">
        <is>
          <t>Пока признаков не используем, модель — одно число c для всех. Минимизируем сумму квадратов ошибок:</t>
        </is>
      </c>
    </row>
    <row r="11" ht="26" customHeight="1">
      <c r="B11" s="10" t="inlineStr">
        <is>
          <t>S(c) = Σᵢ (yᵢ − c)²    →    dS/dc = −2·Σᵢ (yᵢ − c) = 0    →    c = (1/n)·Σᵢ yᵢ = ȳ</t>
        </is>
      </c>
    </row>
    <row r="12" ht="30" customHeight="1">
      <c r="B12" s="5" t="inlineStr">
        <is>
          <t>Производная равна нулю ровно в среднем арифметическом: F₀ = ȳ = (820 + 880 + 1120 + 1180) / 4 = 1000. Это решение задачи минимизации, а не договорённость.</t>
        </is>
      </c>
    </row>
    <row r="14" ht="24" customHeight="1">
      <c r="B14" s="3" t="inlineStr">
        <is>
          <t>3. Остаток и его связь с градиентом</t>
        </is>
      </c>
    </row>
    <row r="15" ht="30" customHeight="1">
      <c r="B15" s="5" t="inlineStr">
        <is>
          <t>Остаток (residual) объекта i на шаге m: rᵢ = yᵢ − F_{m−1}(xᵢ) — насколько текущая модель промахнулась. Минус — завысили, плюс — занизили.</t>
        </is>
      </c>
    </row>
    <row r="16" ht="26" customHeight="1">
      <c r="B16" s="10" t="inlineStr">
        <is>
          <t>rᵢ = yᵢ − F_{m−1}(xᵢ) = −∂L(yᵢ, F)/∂F  при  L = ½(y − F)²</t>
        </is>
      </c>
    </row>
    <row r="17" ht="45" customHeight="1">
      <c r="B17" s="5" t="inlineStr">
        <is>
          <t>Для квадратичной потери остаток — в точности антиградиент потери по прогнозу. Значит «учить следующую модель на остатках» = «делать шаг градиентного спуска в пространстве функций». Отсюда слово «градиентный». Для других потерь вместо остатка берут антиградиент — формула меняется, идея нет.</t>
        </is>
      </c>
    </row>
    <row r="19" ht="24" customHeight="1">
      <c r="B19" s="3" t="inlineStr">
        <is>
          <t>4. Этап B: группировка по колонкам и поправка группы</t>
        </is>
      </c>
    </row>
    <row r="20" ht="30" customHeight="1">
      <c r="B20" s="5" t="inlineStr">
        <is>
          <t>Слабая модель h_m — пень (stump): одна колонка делит объекты на две группы, каждая группа получает одно число — поправку γ. Какое γ лучше всего для группы G?</t>
        </is>
      </c>
    </row>
    <row r="21" ht="26" customHeight="1">
      <c r="B21" s="10" t="inlineStr">
        <is>
          <t>γ_G = argmin_γ Σ_{i∈G} (rᵢ − γ)²  =  (1/|G|)·Σ_{i∈G} rᵢ  — среднее остатков группы</t>
        </is>
      </c>
    </row>
    <row r="22" ht="45" customHeight="1">
      <c r="B22" s="5" t="inlineStr">
        <is>
          <t>Та же выкладка, что в разделе 2, но по объектам группы. Группируем по колонке-признаку, а не по остаткам: признак известен у любого нового объекта, остаток — нет. Столбец «Квадраты после поправки» на листе «Шаги» — это Σ_{i∈G}(rᵢ − γ_G)²: ошибка, которая останется в группе после поправки.</t>
        </is>
      </c>
    </row>
    <row r="24" ht="24" customHeight="1">
      <c r="B24" s="3" t="inlineStr">
        <is>
          <t>5. Этап C: критерий выбора колонки</t>
        </is>
      </c>
    </row>
    <row r="25" ht="26" customHeight="1">
      <c r="B25" s="10" t="inlineStr">
        <is>
          <t>j* = argmin_j  [ Σ_{i∈G₁(j)} (rᵢ − γ₁)² + Σ_{i∈G₂(j)} (rᵢ − γ₂)² ]</t>
        </is>
      </c>
    </row>
    <row r="26" ht="45" customHeight="1">
      <c r="B26" s="5" t="inlineStr">
        <is>
          <t>Для каждой колонки складываем ошибку, оставшуюся в её двух группах, и берём минимум. Эквивалентно: колонка с наибольшим уменьшением суммы квадратов (gain). На шаге 1 экран оставляет 3 600, SSD — 90 000: экран объясняет в 25 раз больше. Так дерево «само находит» важный признак.</t>
        </is>
      </c>
    </row>
    <row r="28" ht="24" customHeight="1">
      <c r="B28" s="3" t="inlineStr">
        <is>
          <t>6. Этап D: learning rate и обновление модели</t>
        </is>
      </c>
    </row>
    <row r="29" ht="26" customHeight="1">
      <c r="B29" s="10" t="inlineStr">
        <is>
          <t>F_m(x) = F_{m−1}(x) + ν · h_m(x),   0 &lt; ν ≤ 1</t>
        </is>
      </c>
    </row>
    <row r="30" ht="45" customHeight="1">
      <c r="B30" s="5" t="inlineStr">
        <is>
          <t>ν (ню) — темп обучения (learning rate). При ν = 1 прибавляется вся поправка, при ν = 0.5 — половина. Это регуляризация по Фридману: каждое дерево делает заведомо неполный шаг, итоговая модель — сумма многих осторожных поправок. На практике ν ∈ [0.01; 0.3], а число деревьев подбирается под него.</t>
        </is>
      </c>
    </row>
    <row r="31" ht="45" customHeight="1">
      <c r="B31" s="5" t="inlineStr">
        <is>
          <t>Почему не ν = 1, если быстрее? На обучающих данных — да. Но цель — новые объекты: резкие шаги подстраиваются под шум обучающей выборки, маленькие — усредняют его. Меньший ν при большем числе деревьев почти всегда даёт лучшее качество на новых данных.</t>
        </is>
      </c>
    </row>
    <row r="33" ht="24" customHeight="1">
      <c r="B33" s="3" t="inlineStr">
        <is>
          <t>7. Сходимость: почему ошибка стремится к нулю, но не достигает его</t>
        </is>
      </c>
    </row>
    <row r="34" ht="15" customHeight="1">
      <c r="B34" s="5" t="inlineStr">
        <is>
          <t>Если колонка выбирается снова, её невыученный вклад умножается на (1 − ν): 150 → 75 → 37.5 → 18.75 …</t>
        </is>
      </c>
    </row>
    <row r="35" ht="26" customHeight="1">
      <c r="B35" s="10" t="inlineStr">
        <is>
          <t>остаток вклада после k шагов = (1 − ν)ᵏ · (исходный вклад)  →  0  при  k → ∞,  но ≠ 0 ни при каком k</t>
        </is>
      </c>
    </row>
    <row r="36" ht="45" customHeight="1">
      <c r="B36" s="5" t="inlineStr">
        <is>
          <t>Поэтому на листе «Сводка» Σ|rᵢ| падает 600 → 300 → 150 → … → 0.29 на 20-м шаге и будет падать дальше бесконечно. В реальной задаче это достоинство: модель можно остановить в любой момент, и число шагов — ещё один рычаг против переобучения.</t>
        </is>
      </c>
    </row>
    <row r="38" ht="24" customHeight="1">
      <c r="B38" s="3" t="inlineStr">
        <is>
          <t>8. Когда остановиться</t>
        </is>
      </c>
    </row>
    <row r="39" ht="60" customHeight="1">
      <c r="B39" s="5" t="inlineStr">
        <is>
          <t>(1) Фиксированное число деревьев n_estimators; (2) остановка, когда улучшение за шаг меньше порога; (3) ранняя остановка (early stopping): ошибка считается на отложенных данных, и обучение прекращается, когда она перестаёт падать. Третье — стандарт практики: оно отвечает не «как выучены эти 4 ноутбука», а «как будет предсказан пятый».</t>
        </is>
      </c>
    </row>
    <row r="41" ht="24" customHeight="1">
      <c r="B41" s="3" t="inlineStr">
        <is>
          <t>9. Обозначения на листе «Шаги»</t>
        </is>
      </c>
    </row>
    <row r="42" ht="45" customHeight="1">
      <c r="B42" s="5" t="inlineStr">
        <is>
          <t>yᵢ — реальная цена (жёлтые ячейки).  F_{m−1}(xᵢ) — «Старое предсказание».  rᵢ — «Остаток».  γ_G — «Поправка (среднее)».  h_m(xᵢ) — «Поправка выбранной колонки».  ν — «Learning rate».  F_m(xᵢ) — «Новое предсказание».  Σ|rᵢ| — наглядный индикатор; Σrᵢ² — то, что модель минимизирует на самом деле.</t>
        </is>
      </c>
    </row>
  </sheetData>
  <hyperlinks>
    <hyperlink ref="B3" location="'Содержание'!A1" display="← Содержание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B2:M69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3" customWidth="1" min="2" max="2"/>
    <col width="20" customWidth="1" min="3" max="3"/>
    <col width="18" customWidth="1" min="4" max="4"/>
    <col width="16" customWidth="1" min="5" max="5"/>
    <col width="16" customWidth="1" min="6" max="6"/>
    <col width="18" customWidth="1" min="7" max="7"/>
    <col width="18" customWidth="1" min="8" max="8"/>
    <col width="15" customWidth="1" min="9" max="9"/>
    <col width="13" customWidth="1" min="10" max="10"/>
    <col width="10" customWidth="1" min="11" max="11"/>
    <col width="10" customWidth="1" min="12" max="12"/>
    <col width="10" customWidth="1" min="13" max="13"/>
    <col width="2" customWidth="1" min="14" max="14"/>
  </cols>
  <sheetData>
    <row r="2" ht="28" customHeight="1">
      <c r="B2" s="11" t="inlineStr">
        <is>
          <t>Шаги бустинга 1–20: этапы A → B → C → D с живыми пояснениями</t>
        </is>
      </c>
    </row>
    <row r="3">
      <c r="B3" s="6" t="inlineStr">
        <is>
          <t>← Содержание</t>
        </is>
      </c>
      <c r="C3" s="6" t="inlineStr">
        <is>
          <t>Сводка и графики →</t>
        </is>
      </c>
      <c r="D3" s="6" t="inlineStr">
        <is>
          <t>Теория →</t>
        </is>
      </c>
    </row>
    <row r="4" ht="28" customHeight="1">
      <c r="B4" s="12" t="inlineStr">
        <is>
          <t>Слева у каждого блока — кнопка «−/+» (группировка строк Excel): шаг можно свернуть. Числа в пояснениях — формулы, они пересчитываются при смене ν или цен.</t>
        </is>
      </c>
    </row>
    <row r="6" ht="24" customHeight="1">
      <c r="B6" s="3" t="inlineStr">
        <is>
          <t>Параметры и исходные данные</t>
        </is>
      </c>
    </row>
    <row r="8">
      <c r="B8" s="13" t="inlineStr">
        <is>
          <t>Learning rate ν</t>
        </is>
      </c>
      <c r="D8" s="14" t="n">
        <v>0.5</v>
      </c>
      <c r="E8" s="15" t="inlineStr">
        <is>
          <t>0 &lt; ν ≤ 1. Поставьте 1 — получите исходный пример за 2 шага; 0.1 — очень медленно.</t>
        </is>
      </c>
    </row>
    <row r="10" ht="30" customHeight="1">
      <c r="B10" s="16" t="inlineStr">
        <is>
          <t>Ноутбук</t>
        </is>
      </c>
      <c r="C10" s="16" t="inlineStr">
        <is>
          <t>Экран</t>
        </is>
      </c>
      <c r="D10" s="16" t="inlineStr">
        <is>
          <t>SSD</t>
        </is>
      </c>
      <c r="E10" s="16" t="inlineStr">
        <is>
          <t>Реальная цена yᵢ</t>
        </is>
      </c>
    </row>
    <row r="11">
      <c r="B11" s="17" t="inlineStr">
        <is>
          <t>A</t>
        </is>
      </c>
      <c r="C11" s="18" t="inlineStr">
        <is>
          <t>13"</t>
        </is>
      </c>
      <c r="D11" s="18" t="inlineStr">
        <is>
          <t>256 ГБ</t>
        </is>
      </c>
      <c r="E11" s="19" t="n">
        <v>820</v>
      </c>
    </row>
    <row r="12">
      <c r="B12" s="17" t="inlineStr">
        <is>
          <t>B</t>
        </is>
      </c>
      <c r="C12" s="18" t="inlineStr">
        <is>
          <t>13"</t>
        </is>
      </c>
      <c r="D12" s="18" t="inlineStr">
        <is>
          <t>512 ГБ</t>
        </is>
      </c>
      <c r="E12" s="19" t="n">
        <v>880</v>
      </c>
    </row>
    <row r="13">
      <c r="B13" s="17" t="inlineStr">
        <is>
          <t>C</t>
        </is>
      </c>
      <c r="C13" s="18" t="inlineStr">
        <is>
          <t>15"</t>
        </is>
      </c>
      <c r="D13" s="18" t="inlineStr">
        <is>
          <t>256 ГБ</t>
        </is>
      </c>
      <c r="E13" s="19" t="n">
        <v>1120</v>
      </c>
    </row>
    <row r="14">
      <c r="B14" s="17" t="inlineStr">
        <is>
          <t>D</t>
        </is>
      </c>
      <c r="C14" s="18" t="inlineStr">
        <is>
          <t>15"</t>
        </is>
      </c>
      <c r="D14" s="18" t="inlineStr">
        <is>
          <t>512 ГБ</t>
        </is>
      </c>
      <c r="E14" s="19" t="n">
        <v>1180</v>
      </c>
    </row>
    <row r="16">
      <c r="B16" s="13" t="inlineStr">
        <is>
          <t>Стартовое предсказание F₀ = ȳ</t>
        </is>
      </c>
      <c r="E16" s="20">
        <f>AVERAGE(E11:E14)</f>
        <v/>
      </c>
    </row>
    <row r="17" ht="32" customHeight="1">
      <c r="B17" s="21">
        <f>"F₀ = ("&amp;$E$11&amp;" + "&amp;$E$12&amp;" + "&amp;$E$13&amp;" + "&amp;$E$14&amp;") / 4 = "&amp;TEXT($E$16,"0.##")&amp;".  Среднее — единственное число, минимизирующее Σ(yᵢ − c)²: dS/dc = −2·Σ(yᵢ − c) = 0 ⇒ c = ȳ (Теория, раздел 2)."</f>
        <v/>
      </c>
    </row>
    <row r="19" ht="22" customHeight="1">
      <c r="B19" s="22" t="inlineStr">
        <is>
          <t>Шаг 1:  F_1 = F_0 + ν·h_1</t>
        </is>
      </c>
    </row>
    <row r="20" outlineLevel="1">
      <c r="B20" s="23">
        <f>"Выбрана колонка: "&amp;$E$41&amp;"   ·   Σ|rᵢ|: "&amp;TEXT(F28,"0.##")&amp;" → "&amp;TEXT(I51,"0.##")&amp;"   ·   Σrᵢ²: "&amp;TEXT(G28,"0.##")&amp;" → "&amp;TEXT(J51,"0.##")</f>
        <v/>
      </c>
    </row>
    <row r="21" outlineLevel="1">
      <c r="B21" s="13" t="inlineStr">
        <is>
          <t>A. Остатки текущей модели F_0   (Теория, раздел 3)</t>
        </is>
      </c>
    </row>
    <row r="22" outlineLevel="1" ht="46" customHeight="1">
      <c r="B22" s="21">
        <f>"Остаток — антиградиент квадратичной потери: rᵢ = yᵢ − F_0(xᵢ) = −∂L/∂F — «что модель ещё не выучила». Для A: "&amp;TEXT(D24,"0.##")&amp;" − "&amp;TEXT(C24,"0.##")&amp;" = "&amp;TEXT(E24,"0.##")&amp;"; для B: "&amp;TEXT(D25,"0.##")&amp;" − "&amp;TEXT(C25,"0.##")&amp;" = "&amp;TEXT(E25,"0.##")&amp;"; для C: "&amp;TEXT(D26,"0.##")&amp;" − "&amp;TEXT(C26,"0.##")&amp;" = "&amp;TEXT(E26,"0.##")&amp;"; для D: "&amp;TEXT(D27,"0.##")&amp;" − "&amp;TEXT(C27,"0.##")&amp;" = "&amp;TEXT(E27,"0.##")&amp;". Минус — завысили, плюс — занизили. Σ|rᵢ| = "&amp;TEXT(F28,"0.##")&amp;", Σrᵢ² = "&amp;TEXT(G28,"0.##")&amp;"."</f>
        <v/>
      </c>
    </row>
    <row r="23" outlineLevel="1" ht="30" customHeight="1">
      <c r="B23" s="16" t="inlineStr">
        <is>
          <t>Ноутбук</t>
        </is>
      </c>
      <c r="C23" s="16" t="inlineStr">
        <is>
          <t>Старое предсказание F_0(xᵢ)</t>
        </is>
      </c>
      <c r="D23" s="16" t="inlineStr">
        <is>
          <t>Реальная yᵢ</t>
        </is>
      </c>
      <c r="E23" s="16" t="inlineStr">
        <is>
          <t>Остаток rᵢ = yᵢ − F_0(xᵢ)</t>
        </is>
      </c>
      <c r="F23" s="16" t="inlineStr">
        <is>
          <t>|rᵢ|</t>
        </is>
      </c>
    </row>
    <row r="24" outlineLevel="1">
      <c r="B24" s="17" t="inlineStr">
        <is>
          <t>A</t>
        </is>
      </c>
      <c r="C24" s="24">
        <f>$E$16</f>
        <v/>
      </c>
      <c r="D24" s="25">
        <f>$E$11</f>
        <v/>
      </c>
      <c r="E24" s="20">
        <f>D24-C24</f>
        <v/>
      </c>
      <c r="F24" s="24">
        <f>ABS(E24)</f>
        <v/>
      </c>
    </row>
    <row r="25" outlineLevel="1">
      <c r="B25" s="17" t="inlineStr">
        <is>
          <t>B</t>
        </is>
      </c>
      <c r="C25" s="24">
        <f>$E$16</f>
        <v/>
      </c>
      <c r="D25" s="25">
        <f>$E$12</f>
        <v/>
      </c>
      <c r="E25" s="20">
        <f>D25-C25</f>
        <v/>
      </c>
      <c r="F25" s="24">
        <f>ABS(E25)</f>
        <v/>
      </c>
    </row>
    <row r="26" outlineLevel="1">
      <c r="B26" s="17" t="inlineStr">
        <is>
          <t>C</t>
        </is>
      </c>
      <c r="C26" s="24">
        <f>$E$16</f>
        <v/>
      </c>
      <c r="D26" s="25">
        <f>$E$13</f>
        <v/>
      </c>
      <c r="E26" s="20">
        <f>D26-C26</f>
        <v/>
      </c>
      <c r="F26" s="24">
        <f>ABS(E26)</f>
        <v/>
      </c>
    </row>
    <row r="27" outlineLevel="1">
      <c r="B27" s="17" t="inlineStr">
        <is>
          <t>D</t>
        </is>
      </c>
      <c r="C27" s="24">
        <f>$E$16</f>
        <v/>
      </c>
      <c r="D27" s="25">
        <f>$E$14</f>
        <v/>
      </c>
      <c r="E27" s="20">
        <f>D27-C27</f>
        <v/>
      </c>
      <c r="F27" s="24">
        <f>ABS(E27)</f>
        <v/>
      </c>
    </row>
    <row r="28" outlineLevel="1">
      <c r="B28" s="13" t="inlineStr">
        <is>
          <t>Σ|rᵢ|  и  Σrᵢ²</t>
        </is>
      </c>
      <c r="F28" s="20">
        <f>SUM(F24:F27)</f>
        <v/>
      </c>
      <c r="G28" s="20">
        <f>SUMSQ(E24:E27)</f>
        <v/>
      </c>
    </row>
    <row r="29" outlineLevel="1"/>
    <row r="30" outlineLevel="1">
      <c r="B30" s="13" t="inlineStr">
        <is>
          <t>B. Группировка по колонкам и поправки групп   (Теория, раздел 4)</t>
        </is>
      </c>
    </row>
    <row r="31" outlineLevel="1" ht="58" customHeight="1">
      <c r="B31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("&amp;TEXT(E24,"0.##")&amp;" + "&amp;TEXT(E25,"0.##")&amp;") / 2 = "&amp;TEXT(G33,"0.##")&amp;", остаётся "&amp;TEXT(H33,"0.##")&amp;";  экран 15″ {C, D}: γ = "&amp;TEXT(G34,"0.##")&amp;", остаётся "&amp;TEXT(H34,"0.##")&amp;";  SSD 256 {A, C}: γ = ("&amp;TEXT(E24,"0.##")&amp;" + "&amp;TEXT(E26,"0.##")&amp;") / 2 = "&amp;TEXT(G35,"0.##")&amp;", остаётся "&amp;TEXT(H35,"0.##")&amp;";  SSD 512 {B, D}: γ = "&amp;TEXT(G36,"0.##")&amp;", остаётся "&amp;TEXT(H36,"0.##")&amp;"."</f>
        <v/>
      </c>
    </row>
    <row r="32" outlineLevel="1" ht="30" customHeight="1">
      <c r="B32" s="16" t="inlineStr">
        <is>
          <t>Колонка</t>
        </is>
      </c>
      <c r="C32" s="16" t="inlineStr">
        <is>
          <t>Группа G</t>
        </is>
      </c>
      <c r="D32" s="16" t="inlineStr">
        <is>
          <t>Состав</t>
        </is>
      </c>
      <c r="E32" s="16" t="inlineStr">
        <is>
          <t>Σ остатков группы</t>
        </is>
      </c>
      <c r="F32" s="16" t="inlineStr">
        <is>
          <t>|G|</t>
        </is>
      </c>
      <c r="G32" s="16" t="inlineStr">
        <is>
          <t>Поправка γ_G = Σrᵢ / |G|</t>
        </is>
      </c>
      <c r="H32" s="16" t="inlineStr">
        <is>
          <t>Остаётся Σ(rᵢ − γ_G)²</t>
        </is>
      </c>
    </row>
    <row r="33" outlineLevel="1">
      <c r="B33" s="17" t="inlineStr">
        <is>
          <t>Экран</t>
        </is>
      </c>
      <c r="C33" s="18" t="inlineStr">
        <is>
          <t>13"</t>
        </is>
      </c>
      <c r="D33" s="18" t="inlineStr">
        <is>
          <t>A, B</t>
        </is>
      </c>
      <c r="E33" s="24">
        <f>E24+E25</f>
        <v/>
      </c>
      <c r="F33" s="26" t="n">
        <v>2</v>
      </c>
      <c r="G33" s="20">
        <f>E33/F33</f>
        <v/>
      </c>
      <c r="H33" s="24">
        <f>(E24-G33)^2+(E25-G33)^2</f>
        <v/>
      </c>
    </row>
    <row r="34" outlineLevel="1">
      <c r="B34" s="17" t="inlineStr">
        <is>
          <t>Экран</t>
        </is>
      </c>
      <c r="C34" s="18" t="inlineStr">
        <is>
          <t>15"</t>
        </is>
      </c>
      <c r="D34" s="18" t="inlineStr">
        <is>
          <t>C, D</t>
        </is>
      </c>
      <c r="E34" s="24">
        <f>E26+E27</f>
        <v/>
      </c>
      <c r="F34" s="26" t="n">
        <v>2</v>
      </c>
      <c r="G34" s="20">
        <f>E34/F34</f>
        <v/>
      </c>
      <c r="H34" s="24">
        <f>(E26-G34)^2+(E27-G34)^2</f>
        <v/>
      </c>
    </row>
    <row r="35" outlineLevel="1">
      <c r="B35" s="17" t="inlineStr">
        <is>
          <t>SSD</t>
        </is>
      </c>
      <c r="C35" s="18" t="inlineStr">
        <is>
          <t>256 ГБ</t>
        </is>
      </c>
      <c r="D35" s="18" t="inlineStr">
        <is>
          <t>A, C</t>
        </is>
      </c>
      <c r="E35" s="24">
        <f>E24+E26</f>
        <v/>
      </c>
      <c r="F35" s="26" t="n">
        <v>2</v>
      </c>
      <c r="G35" s="20">
        <f>E35/F35</f>
        <v/>
      </c>
      <c r="H35" s="24">
        <f>(E24-G35)^2+(E26-G35)^2</f>
        <v/>
      </c>
    </row>
    <row r="36" outlineLevel="1">
      <c r="B36" s="17" t="inlineStr">
        <is>
          <t>SSD</t>
        </is>
      </c>
      <c r="C36" s="18" t="inlineStr">
        <is>
          <t>512 ГБ</t>
        </is>
      </c>
      <c r="D36" s="18" t="inlineStr">
        <is>
          <t>B, D</t>
        </is>
      </c>
      <c r="E36" s="24">
        <f>E25+E27</f>
        <v/>
      </c>
      <c r="F36" s="26" t="n">
        <v>2</v>
      </c>
      <c r="G36" s="20">
        <f>E36/F36</f>
        <v/>
      </c>
      <c r="H36" s="24">
        <f>(E25-G36)^2+(E27-G36)^2</f>
        <v/>
      </c>
    </row>
    <row r="37" outlineLevel="1"/>
    <row r="38" outlineLevel="1">
      <c r="B38" s="13" t="inlineStr">
        <is>
          <t>C. Выбор колонки: наименьшая оставшаяся сумма квадратов   (Теория, раздел 5)</t>
        </is>
      </c>
    </row>
    <row r="39" outlineLevel="1" ht="44" customHeight="1">
      <c r="B39" s="21">
        <f>"Складываем ошибку, оставшуюся в двух группах каждой колонки, и берём минимум. Экран: "&amp;TEXT(H33,"0.##")&amp;" + "&amp;TEXT(H34,"0.##")&amp;" = "&amp;TEXT(C41,"0.##")&amp;";  SSD: "&amp;TEXT(H35,"0.##")&amp;" + "&amp;TEXT(H36,"0.##")&amp;" = "&amp;TEXT(C42,"0.##")&amp;".  Меньше у: "&amp;$E$41&amp;IF(MIN(C41:C42)&gt;0," (у соседки в "&amp;TEXT(MAX(C41:C42)/MIN(C41:C42),"0.00")&amp;" раза больше)","")&amp;". Значит h_1 строится по этой колонке, и каждому объекту достаётся γ его группы."</f>
        <v/>
      </c>
    </row>
    <row r="40" outlineLevel="1" ht="30" customHeight="1">
      <c r="B40" s="16" t="inlineStr">
        <is>
          <t>Колонка j</t>
        </is>
      </c>
      <c r="C40" s="16" t="inlineStr">
        <is>
          <t>Остаётся Σ(rᵢ − γ)² по обеим группам</t>
        </is>
      </c>
      <c r="D40" s="16" t="inlineStr">
        <is>
          <t>Во сколько раз больше минимума</t>
        </is>
      </c>
      <c r="E40" s="16" t="inlineStr">
        <is>
          <t>Выбор j* = argmin</t>
        </is>
      </c>
    </row>
    <row r="41" outlineLevel="1">
      <c r="B41" s="17" t="inlineStr">
        <is>
          <t>Экран</t>
        </is>
      </c>
      <c r="C41" s="24">
        <f>H33+H34</f>
        <v/>
      </c>
      <c r="D41" s="27">
        <f>IF(MIN(C41:C42)=0,"—",C41/MIN(C41:C42))</f>
        <v/>
      </c>
      <c r="E41" s="28">
        <f>IF(C41&lt;=C42,"экран","SSD")</f>
        <v/>
      </c>
    </row>
    <row r="42" outlineLevel="1">
      <c r="B42" s="17" t="inlineStr">
        <is>
          <t>SSD</t>
        </is>
      </c>
      <c r="C42" s="24">
        <f>H35+H36</f>
        <v/>
      </c>
      <c r="D42" s="27">
        <f>IF(MIN(C41:C42)=0,"—",C42/MIN(C41:C42))</f>
        <v/>
      </c>
      <c r="E42" s="18" t="n"/>
    </row>
    <row r="43" outlineLevel="1"/>
    <row r="44" outlineLevel="1">
      <c r="B44" s="13" t="inlineStr">
        <is>
          <t>D. Обновление модели: F_1(xᵢ) = F_0(xᵢ) + ν·h_1(xᵢ)   (Теория, раздел 6)</t>
        </is>
      </c>
    </row>
    <row r="45" outlineLevel="1" ht="62" customHeight="1">
      <c r="B45" s="21">
        <f>"Прибавляем не всю поправку, а долю ν = "&amp;TEXT($D$8,"0.00")&amp;". A: F_1(A) = "&amp;TEXT(C47,"0.##")&amp;" + "&amp;TEXT($D$8,"0.00")&amp;" × ("&amp;TEXT(D47,"0.##")&amp;") = "&amp;TEXT(F47,"0.##")&amp;", остаток "&amp;TEXT(G47,"0.##")&amp;" − "&amp;TEXT(F47,"0.##")&amp;" = "&amp;TEXT(H47,"0.##")&amp;";  D: F_1(D) = "&amp;TEXT(C50,"0.##")&amp;" + "&amp;TEXT($D$8,"0.00")&amp;" × ("&amp;TEXT(D50,"0.##")&amp;") = "&amp;TEXT(F50,"0.##")&amp;", остаток "&amp;TEXT(H50,"0.##")&amp;". "&amp;"Итог: Σ|rᵢ| = "&amp;TEXT(I51,"0.##")&amp;" (было "&amp;TEXT(F28,"0.##")&amp;"), Σrᵢ² = "&amp;TEXT(J51,"0.##")&amp;" (было "&amp;TEXT(G28,"0.##")&amp;"). Невыученная часть вклада колонки «"&amp;$E$41&amp;"» умножилась на (1 − ν) = "&amp;TEXT(1-$D$8,"0.00")&amp;": из "&amp;TEXT(MAX(ABS(D47),ABS(D48)),"0.##")&amp;" осталось "&amp;TEXT(MAX(ABS(D47),ABS(D48))*(1-$D$8),"0.##")&amp;"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46" outlineLevel="1" ht="30" customHeight="1">
      <c r="B46" s="16" t="inlineStr">
        <is>
          <t>Ноутбук</t>
        </is>
      </c>
      <c r="C46" s="16" t="inlineStr">
        <is>
          <t>F_{0}(xᵢ)</t>
        </is>
      </c>
      <c r="D46" s="16" t="inlineStr">
        <is>
          <t>h_1(xᵢ) — поправка выбранной колонки</t>
        </is>
      </c>
      <c r="E46" s="16" t="inlineStr">
        <is>
          <t>ν·h_1(xᵢ)</t>
        </is>
      </c>
      <c r="F46" s="16" t="inlineStr">
        <is>
          <t>F_1(xᵢ) = F_{0} + ν·h_1</t>
        </is>
      </c>
      <c r="G46" s="16" t="inlineStr">
        <is>
          <t>yᵢ</t>
        </is>
      </c>
      <c r="H46" s="16" t="inlineStr">
        <is>
          <t>Новый остаток yᵢ − F_1(xᵢ)</t>
        </is>
      </c>
      <c r="I46" s="16" t="inlineStr">
        <is>
          <t>|остаток|</t>
        </is>
      </c>
      <c r="J46" s="16" t="inlineStr">
        <is>
          <t>остаток²</t>
        </is>
      </c>
    </row>
    <row r="47" outlineLevel="1">
      <c r="B47" s="17" t="inlineStr">
        <is>
          <t>A</t>
        </is>
      </c>
      <c r="C47" s="24">
        <f>$E$16</f>
        <v/>
      </c>
      <c r="D47" s="24">
        <f>IF($E$41="экран",G33,G35)</f>
        <v/>
      </c>
      <c r="E47" s="24">
        <f>$D$8*D47</f>
        <v/>
      </c>
      <c r="F47" s="20">
        <f>C47+E47</f>
        <v/>
      </c>
      <c r="G47" s="25">
        <f>$E$11</f>
        <v/>
      </c>
      <c r="H47" s="20">
        <f>G47-F47</f>
        <v/>
      </c>
      <c r="I47" s="24">
        <f>ABS(H47)</f>
        <v/>
      </c>
      <c r="J47" s="24">
        <f>H47^2</f>
        <v/>
      </c>
    </row>
    <row r="48" outlineLevel="1">
      <c r="B48" s="17" t="inlineStr">
        <is>
          <t>B</t>
        </is>
      </c>
      <c r="C48" s="24">
        <f>$E$16</f>
        <v/>
      </c>
      <c r="D48" s="24">
        <f>IF($E$41="экран",G33,G36)</f>
        <v/>
      </c>
      <c r="E48" s="24">
        <f>$D$8*D48</f>
        <v/>
      </c>
      <c r="F48" s="20">
        <f>C48+E48</f>
        <v/>
      </c>
      <c r="G48" s="25">
        <f>$E$12</f>
        <v/>
      </c>
      <c r="H48" s="20">
        <f>G48-F48</f>
        <v/>
      </c>
      <c r="I48" s="24">
        <f>ABS(H48)</f>
        <v/>
      </c>
      <c r="J48" s="24">
        <f>H48^2</f>
        <v/>
      </c>
    </row>
    <row r="49" outlineLevel="1">
      <c r="B49" s="17" t="inlineStr">
        <is>
          <t>C</t>
        </is>
      </c>
      <c r="C49" s="24">
        <f>$E$16</f>
        <v/>
      </c>
      <c r="D49" s="24">
        <f>IF($E$41="экран",G34,G35)</f>
        <v/>
      </c>
      <c r="E49" s="24">
        <f>$D$8*D49</f>
        <v/>
      </c>
      <c r="F49" s="20">
        <f>C49+E49</f>
        <v/>
      </c>
      <c r="G49" s="25">
        <f>$E$13</f>
        <v/>
      </c>
      <c r="H49" s="20">
        <f>G49-F49</f>
        <v/>
      </c>
      <c r="I49" s="24">
        <f>ABS(H49)</f>
        <v/>
      </c>
      <c r="J49" s="24">
        <f>H49^2</f>
        <v/>
      </c>
    </row>
    <row r="50" outlineLevel="1">
      <c r="B50" s="17" t="inlineStr">
        <is>
          <t>D</t>
        </is>
      </c>
      <c r="C50" s="24">
        <f>$E$16</f>
        <v/>
      </c>
      <c r="D50" s="24">
        <f>IF($E$41="экран",G34,G36)</f>
        <v/>
      </c>
      <c r="E50" s="24">
        <f>$D$8*D50</f>
        <v/>
      </c>
      <c r="F50" s="20">
        <f>C50+E50</f>
        <v/>
      </c>
      <c r="G50" s="25">
        <f>$E$14</f>
        <v/>
      </c>
      <c r="H50" s="20">
        <f>G50-F50</f>
        <v/>
      </c>
      <c r="I50" s="24">
        <f>ABS(H50)</f>
        <v/>
      </c>
      <c r="J50" s="24">
        <f>H50^2</f>
        <v/>
      </c>
    </row>
    <row r="51" outlineLevel="1">
      <c r="B51" s="13" t="inlineStr">
        <is>
          <t>Итого после шага:  Σ|rᵢ|  и  Σrᵢ²</t>
        </is>
      </c>
      <c r="I51" s="20">
        <f>SUM(I47:I50)</f>
        <v/>
      </c>
      <c r="J51" s="20">
        <f>SUM(J47:J50)</f>
        <v/>
      </c>
    </row>
    <row r="53" ht="22" customHeight="1">
      <c r="B53" s="22" t="inlineStr">
        <is>
          <t>Шаг 2:  F_2 = F_1 + ν·h_2</t>
        </is>
      </c>
    </row>
    <row r="54" outlineLevel="1">
      <c r="B54" s="23">
        <f>"Выбрана колонка: "&amp;$E$75&amp;"   ·   Σ|rᵢ|: "&amp;TEXT(F62,"0.##")&amp;" → "&amp;TEXT(I85,"0.##")&amp;"   ·   Σrᵢ²: "&amp;TEXT(G62,"0.##")&amp;" → "&amp;TEXT(J85,"0.##")</f>
        <v/>
      </c>
    </row>
    <row r="55" outlineLevel="1">
      <c r="B55" s="13" t="inlineStr">
        <is>
          <t>A. Остатки текущей модели F_1   (Теория, раздел 3)</t>
        </is>
      </c>
    </row>
    <row r="56" outlineLevel="1" ht="46" customHeight="1">
      <c r="B56" s="21">
        <f>"Остаток — антиградиент квадратичной потери: rᵢ = yᵢ − F_1(xᵢ) = −∂L/∂F — «что модель ещё не выучила». Для A: "&amp;TEXT(D58,"0.##")&amp;" − "&amp;TEXT(C58,"0.##")&amp;" = "&amp;TEXT(E58,"0.##")&amp;"; для B: "&amp;TEXT(D59,"0.##")&amp;" − "&amp;TEXT(C59,"0.##")&amp;" = "&amp;TEXT(E59,"0.##")&amp;"; для C: "&amp;TEXT(D60,"0.##")&amp;" − "&amp;TEXT(C60,"0.##")&amp;" = "&amp;TEXT(E60,"0.##")&amp;"; для D: "&amp;TEXT(D61,"0.##")&amp;" − "&amp;TEXT(C61,"0.##")&amp;" = "&amp;TEXT(E61,"0.##")&amp;". Минус — завысили, плюс — занизили. Σ|rᵢ| = "&amp;TEXT(F62,"0.##")&amp;", Σrᵢ² = "&amp;TEXT(G62,"0.##")&amp;"."</f>
        <v/>
      </c>
    </row>
    <row r="57" outlineLevel="1" ht="30" customHeight="1">
      <c r="B57" s="16" t="inlineStr">
        <is>
          <t>Ноутбук</t>
        </is>
      </c>
      <c r="C57" s="16" t="inlineStr">
        <is>
          <t>Старое предсказание F_1(xᵢ)</t>
        </is>
      </c>
      <c r="D57" s="16" t="inlineStr">
        <is>
          <t>Реальная yᵢ</t>
        </is>
      </c>
      <c r="E57" s="16" t="inlineStr">
        <is>
          <t>Остаток rᵢ = yᵢ − F_1(xᵢ)</t>
        </is>
      </c>
      <c r="F57" s="16" t="inlineStr">
        <is>
          <t>|rᵢ|</t>
        </is>
      </c>
    </row>
    <row r="58" outlineLevel="1">
      <c r="B58" s="17" t="inlineStr">
        <is>
          <t>A</t>
        </is>
      </c>
      <c r="C58" s="24">
        <f>F47</f>
        <v/>
      </c>
      <c r="D58" s="25">
        <f>$E$11</f>
        <v/>
      </c>
      <c r="E58" s="20">
        <f>D58-C58</f>
        <v/>
      </c>
      <c r="F58" s="24">
        <f>ABS(E58)</f>
        <v/>
      </c>
    </row>
    <row r="59" outlineLevel="1">
      <c r="B59" s="17" t="inlineStr">
        <is>
          <t>B</t>
        </is>
      </c>
      <c r="C59" s="24">
        <f>F48</f>
        <v/>
      </c>
      <c r="D59" s="25">
        <f>$E$12</f>
        <v/>
      </c>
      <c r="E59" s="20">
        <f>D59-C59</f>
        <v/>
      </c>
      <c r="F59" s="24">
        <f>ABS(E59)</f>
        <v/>
      </c>
    </row>
    <row r="60" outlineLevel="1">
      <c r="B60" s="17" t="inlineStr">
        <is>
          <t>C</t>
        </is>
      </c>
      <c r="C60" s="24">
        <f>F49</f>
        <v/>
      </c>
      <c r="D60" s="25">
        <f>$E$13</f>
        <v/>
      </c>
      <c r="E60" s="20">
        <f>D60-C60</f>
        <v/>
      </c>
      <c r="F60" s="24">
        <f>ABS(E60)</f>
        <v/>
      </c>
    </row>
    <row r="61" outlineLevel="1">
      <c r="B61" s="17" t="inlineStr">
        <is>
          <t>D</t>
        </is>
      </c>
      <c r="C61" s="24">
        <f>F50</f>
        <v/>
      </c>
      <c r="D61" s="25">
        <f>$E$14</f>
        <v/>
      </c>
      <c r="E61" s="20">
        <f>D61-C61</f>
        <v/>
      </c>
      <c r="F61" s="24">
        <f>ABS(E61)</f>
        <v/>
      </c>
    </row>
    <row r="62" outlineLevel="1">
      <c r="B62" s="13" t="inlineStr">
        <is>
          <t>Σ|rᵢ|  и  Σrᵢ²</t>
        </is>
      </c>
      <c r="F62" s="20">
        <f>SUM(F58:F61)</f>
        <v/>
      </c>
      <c r="G62" s="20">
        <f>SUMSQ(E58:E61)</f>
        <v/>
      </c>
    </row>
    <row r="63" outlineLevel="1"/>
    <row r="64" outlineLevel="1">
      <c r="B64" s="13" t="inlineStr">
        <is>
          <t>B. Группировка по колонкам и поправки групп   (Теория, раздел 4)</t>
        </is>
      </c>
    </row>
    <row r="65" outlineLevel="1" ht="58" customHeight="1">
      <c r="B65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("&amp;TEXT(E58,"0.##")&amp;" + "&amp;TEXT(E59,"0.##")&amp;") / 2 = "&amp;TEXT(G67,"0.##")&amp;", остаётся "&amp;TEXT(H67,"0.##")&amp;";  экран 15″ {C, D}: γ = "&amp;TEXT(G68,"0.##")&amp;", остаётся "&amp;TEXT(H68,"0.##")&amp;";  SSD 256 {A, C}: γ = ("&amp;TEXT(E58,"0.##")&amp;" + "&amp;TEXT(E60,"0.##")&amp;") / 2 = "&amp;TEXT(G69,"0.##")&amp;", остаётся "&amp;TEXT(H69,"0.##")&amp;";  SSD 512 {B, D}: γ = "&amp;TEXT(G70,"0.##")&amp;", остаётся "&amp;TEXT(H70,"0.##")&amp;"."</f>
        <v/>
      </c>
    </row>
    <row r="66" outlineLevel="1" ht="30" customHeight="1">
      <c r="B66" s="16" t="inlineStr">
        <is>
          <t>Колонка</t>
        </is>
      </c>
      <c r="C66" s="16" t="inlineStr">
        <is>
          <t>Группа G</t>
        </is>
      </c>
      <c r="D66" s="16" t="inlineStr">
        <is>
          <t>Состав</t>
        </is>
      </c>
      <c r="E66" s="16" t="inlineStr">
        <is>
          <t>Σ остатков группы</t>
        </is>
      </c>
      <c r="F66" s="16" t="inlineStr">
        <is>
          <t>|G|</t>
        </is>
      </c>
      <c r="G66" s="16" t="inlineStr">
        <is>
          <t>Поправка γ_G = Σrᵢ / |G|</t>
        </is>
      </c>
      <c r="H66" s="16" t="inlineStr">
        <is>
          <t>Остаётся Σ(rᵢ − γ_G)²</t>
        </is>
      </c>
    </row>
    <row r="67" outlineLevel="1">
      <c r="B67" s="17" t="inlineStr">
        <is>
          <t>Экран</t>
        </is>
      </c>
      <c r="C67" s="18" t="inlineStr">
        <is>
          <t>13"</t>
        </is>
      </c>
      <c r="D67" s="18" t="inlineStr">
        <is>
          <t>A, B</t>
        </is>
      </c>
      <c r="E67" s="24">
        <f>E58+E59</f>
        <v/>
      </c>
      <c r="F67" s="26" t="n">
        <v>2</v>
      </c>
      <c r="G67" s="20">
        <f>E67/F67</f>
        <v/>
      </c>
      <c r="H67" s="24">
        <f>(E58-G67)^2+(E59-G67)^2</f>
        <v/>
      </c>
    </row>
    <row r="68" outlineLevel="1">
      <c r="B68" s="17" t="inlineStr">
        <is>
          <t>Экран</t>
        </is>
      </c>
      <c r="C68" s="18" t="inlineStr">
        <is>
          <t>15"</t>
        </is>
      </c>
      <c r="D68" s="18" t="inlineStr">
        <is>
          <t>C, D</t>
        </is>
      </c>
      <c r="E68" s="24">
        <f>E60+E61</f>
        <v/>
      </c>
      <c r="F68" s="26" t="n">
        <v>2</v>
      </c>
      <c r="G68" s="20">
        <f>E68/F68</f>
        <v/>
      </c>
      <c r="H68" s="24">
        <f>(E60-G68)^2+(E61-G68)^2</f>
        <v/>
      </c>
    </row>
    <row r="69" outlineLevel="1">
      <c r="B69" s="17" t="inlineStr">
        <is>
          <t>SSD</t>
        </is>
      </c>
      <c r="C69" s="18" t="inlineStr">
        <is>
          <t>256 ГБ</t>
        </is>
      </c>
      <c r="D69" s="18" t="inlineStr">
        <is>
          <t>A, C</t>
        </is>
      </c>
      <c r="E69" s="24">
        <f>E58+E60</f>
        <v/>
      </c>
      <c r="F69" s="26" t="n">
        <v>2</v>
      </c>
      <c r="G69" s="20">
        <f>E69/F69</f>
        <v/>
      </c>
      <c r="H69" s="24">
        <f>(E58-G69)^2+(E60-G69)^2</f>
        <v/>
      </c>
    </row>
    <row r="70" outlineLevel="1">
      <c r="B70" s="17" t="inlineStr">
        <is>
          <t>SSD</t>
        </is>
      </c>
      <c r="C70" s="18" t="inlineStr">
        <is>
          <t>512 ГБ</t>
        </is>
      </c>
      <c r="D70" s="18" t="inlineStr">
        <is>
          <t>B, D</t>
        </is>
      </c>
      <c r="E70" s="24">
        <f>E59+E61</f>
        <v/>
      </c>
      <c r="F70" s="26" t="n">
        <v>2</v>
      </c>
      <c r="G70" s="20">
        <f>E70/F70</f>
        <v/>
      </c>
      <c r="H70" s="24">
        <f>(E59-G70)^2+(E61-G70)^2</f>
        <v/>
      </c>
    </row>
    <row r="71" outlineLevel="1"/>
    <row r="72" outlineLevel="1">
      <c r="B72" s="13" t="inlineStr">
        <is>
          <t>C. Выбор колонки: наименьшая оставшаяся сумма квадратов   (Теория, раздел 5)</t>
        </is>
      </c>
    </row>
    <row r="73" outlineLevel="1" ht="44" customHeight="1">
      <c r="B73" s="21">
        <f>"Складываем ошибку, оставшуюся в двух группах каждой колонки, и берём минимум. Экран: "&amp;TEXT(H67,"0.##")&amp;" + "&amp;TEXT(H68,"0.##")&amp;" = "&amp;TEXT(C75,"0.##")&amp;";  SSD: "&amp;TEXT(H69,"0.##")&amp;" + "&amp;TEXT(H70,"0.##")&amp;" = "&amp;TEXT(C76,"0.##")&amp;".  Меньше у: "&amp;$E$75&amp;IF(MIN(C75:C76)&gt;0," (у соседки в "&amp;TEXT(MAX(C75:C76)/MIN(C75:C76),"0.00")&amp;" раза больше)","")&amp;". Значит h_2 строится по этой колонке, и каждому объекту достаётся γ его группы."</f>
        <v/>
      </c>
    </row>
    <row r="74" outlineLevel="1" ht="30" customHeight="1">
      <c r="B74" s="16" t="inlineStr">
        <is>
          <t>Колонка j</t>
        </is>
      </c>
      <c r="C74" s="16" t="inlineStr">
        <is>
          <t>Остаётся Σ(rᵢ − γ)² по обеим группам</t>
        </is>
      </c>
      <c r="D74" s="16" t="inlineStr">
        <is>
          <t>Во сколько раз больше минимума</t>
        </is>
      </c>
      <c r="E74" s="16" t="inlineStr">
        <is>
          <t>Выбор j* = argmin</t>
        </is>
      </c>
    </row>
    <row r="75" outlineLevel="1">
      <c r="B75" s="17" t="inlineStr">
        <is>
          <t>Экран</t>
        </is>
      </c>
      <c r="C75" s="24">
        <f>H67+H68</f>
        <v/>
      </c>
      <c r="D75" s="27">
        <f>IF(MIN(C75:C76)=0,"—",C75/MIN(C75:C76))</f>
        <v/>
      </c>
      <c r="E75" s="28">
        <f>IF(C75&lt;=C76,"экран","SSD")</f>
        <v/>
      </c>
    </row>
    <row r="76" outlineLevel="1">
      <c r="B76" s="17" t="inlineStr">
        <is>
          <t>SSD</t>
        </is>
      </c>
      <c r="C76" s="24">
        <f>H69+H70</f>
        <v/>
      </c>
      <c r="D76" s="27">
        <f>IF(MIN(C75:C76)=0,"—",C76/MIN(C75:C76))</f>
        <v/>
      </c>
      <c r="E76" s="18" t="n"/>
    </row>
    <row r="77" outlineLevel="1"/>
    <row r="78" outlineLevel="1">
      <c r="B78" s="13" t="inlineStr">
        <is>
          <t>D. Обновление модели: F_2(xᵢ) = F_1(xᵢ) + ν·h_2(xᵢ)   (Теория, раздел 6)</t>
        </is>
      </c>
    </row>
    <row r="79" outlineLevel="1" ht="62" customHeight="1">
      <c r="B79" s="21">
        <f>"Прибавляем не всю поправку, а долю ν = "&amp;TEXT($D$8,"0.00")&amp;". A: F_2(A) = "&amp;TEXT(C81,"0.##")&amp;" + "&amp;TEXT($D$8,"0.00")&amp;" × ("&amp;TEXT(D81,"0.##")&amp;") = "&amp;TEXT(F81,"0.##")&amp;", остаток "&amp;TEXT(G81,"0.##")&amp;" − "&amp;TEXT(F81,"0.##")&amp;" = "&amp;TEXT(H81,"0.##")&amp;";  D: F_2(D) = "&amp;TEXT(C84,"0.##")&amp;" + "&amp;TEXT($D$8,"0.00")&amp;" × ("&amp;TEXT(D84,"0.##")&amp;") = "&amp;TEXT(F84,"0.##")&amp;", остаток "&amp;TEXT(H84,"0.##")&amp;". "&amp;"Итог: Σ|rᵢ| = "&amp;TEXT(I85,"0.##")&amp;" (было "&amp;TEXT(F62,"0.##")&amp;"), Σrᵢ² = "&amp;TEXT(J85,"0.##")&amp;" (было "&amp;TEXT(G62,"0.##")&amp;"). Невыученная часть вклада колонки «"&amp;$E$75&amp;"» умножилась на (1 − ν) = "&amp;TEXT(1-$D$8,"0.00")&amp;": из "&amp;TEXT(MAX(ABS(D81),ABS(D82)),"0.##")&amp;" осталось "&amp;TEXT(MAX(ABS(D81),ABS(D82))*(1-$D$8),"0.##")&amp;"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80" outlineLevel="1" ht="30" customHeight="1">
      <c r="B80" s="16" t="inlineStr">
        <is>
          <t>Ноутбук</t>
        </is>
      </c>
      <c r="C80" s="16" t="inlineStr">
        <is>
          <t>F_{1}(xᵢ)</t>
        </is>
      </c>
      <c r="D80" s="16" t="inlineStr">
        <is>
          <t>h_2(xᵢ) — поправка выбранной колонки</t>
        </is>
      </c>
      <c r="E80" s="16" t="inlineStr">
        <is>
          <t>ν·h_2(xᵢ)</t>
        </is>
      </c>
      <c r="F80" s="16" t="inlineStr">
        <is>
          <t>F_2(xᵢ) = F_{1} + ν·h_2</t>
        </is>
      </c>
      <c r="G80" s="16" t="inlineStr">
        <is>
          <t>yᵢ</t>
        </is>
      </c>
      <c r="H80" s="16" t="inlineStr">
        <is>
          <t>Новый остаток yᵢ − F_2(xᵢ)</t>
        </is>
      </c>
      <c r="I80" s="16" t="inlineStr">
        <is>
          <t>|остаток|</t>
        </is>
      </c>
      <c r="J80" s="16" t="inlineStr">
        <is>
          <t>остаток²</t>
        </is>
      </c>
    </row>
    <row r="81" outlineLevel="1">
      <c r="B81" s="17" t="inlineStr">
        <is>
          <t>A</t>
        </is>
      </c>
      <c r="C81" s="24">
        <f>F47</f>
        <v/>
      </c>
      <c r="D81" s="24">
        <f>IF($E$75="экран",G67,G69)</f>
        <v/>
      </c>
      <c r="E81" s="24">
        <f>$D$8*D81</f>
        <v/>
      </c>
      <c r="F81" s="20">
        <f>C81+E81</f>
        <v/>
      </c>
      <c r="G81" s="25">
        <f>$E$11</f>
        <v/>
      </c>
      <c r="H81" s="20">
        <f>G81-F81</f>
        <v/>
      </c>
      <c r="I81" s="24">
        <f>ABS(H81)</f>
        <v/>
      </c>
      <c r="J81" s="24">
        <f>H81^2</f>
        <v/>
      </c>
    </row>
    <row r="82" outlineLevel="1">
      <c r="B82" s="17" t="inlineStr">
        <is>
          <t>B</t>
        </is>
      </c>
      <c r="C82" s="24">
        <f>F48</f>
        <v/>
      </c>
      <c r="D82" s="24">
        <f>IF($E$75="экран",G67,G70)</f>
        <v/>
      </c>
      <c r="E82" s="24">
        <f>$D$8*D82</f>
        <v/>
      </c>
      <c r="F82" s="20">
        <f>C82+E82</f>
        <v/>
      </c>
      <c r="G82" s="25">
        <f>$E$12</f>
        <v/>
      </c>
      <c r="H82" s="20">
        <f>G82-F82</f>
        <v/>
      </c>
      <c r="I82" s="24">
        <f>ABS(H82)</f>
        <v/>
      </c>
      <c r="J82" s="24">
        <f>H82^2</f>
        <v/>
      </c>
    </row>
    <row r="83" outlineLevel="1">
      <c r="B83" s="17" t="inlineStr">
        <is>
          <t>C</t>
        </is>
      </c>
      <c r="C83" s="24">
        <f>F49</f>
        <v/>
      </c>
      <c r="D83" s="24">
        <f>IF($E$75="экран",G68,G69)</f>
        <v/>
      </c>
      <c r="E83" s="24">
        <f>$D$8*D83</f>
        <v/>
      </c>
      <c r="F83" s="20">
        <f>C83+E83</f>
        <v/>
      </c>
      <c r="G83" s="25">
        <f>$E$13</f>
        <v/>
      </c>
      <c r="H83" s="20">
        <f>G83-F83</f>
        <v/>
      </c>
      <c r="I83" s="24">
        <f>ABS(H83)</f>
        <v/>
      </c>
      <c r="J83" s="24">
        <f>H83^2</f>
        <v/>
      </c>
    </row>
    <row r="84" outlineLevel="1">
      <c r="B84" s="17" t="inlineStr">
        <is>
          <t>D</t>
        </is>
      </c>
      <c r="C84" s="24">
        <f>F50</f>
        <v/>
      </c>
      <c r="D84" s="24">
        <f>IF($E$75="экран",G68,G70)</f>
        <v/>
      </c>
      <c r="E84" s="24">
        <f>$D$8*D84</f>
        <v/>
      </c>
      <c r="F84" s="20">
        <f>C84+E84</f>
        <v/>
      </c>
      <c r="G84" s="25">
        <f>$E$14</f>
        <v/>
      </c>
      <c r="H84" s="20">
        <f>G84-F84</f>
        <v/>
      </c>
      <c r="I84" s="24">
        <f>ABS(H84)</f>
        <v/>
      </c>
      <c r="J84" s="24">
        <f>H84^2</f>
        <v/>
      </c>
    </row>
    <row r="85" outlineLevel="1">
      <c r="B85" s="13" t="inlineStr">
        <is>
          <t>Итого после шага:  Σ|rᵢ|  и  Σrᵢ²</t>
        </is>
      </c>
      <c r="I85" s="20">
        <f>SUM(I81:I84)</f>
        <v/>
      </c>
      <c r="J85" s="20">
        <f>SUM(J81:J84)</f>
        <v/>
      </c>
    </row>
    <row r="87" ht="22" customHeight="1">
      <c r="B87" s="22" t="inlineStr">
        <is>
          <t>Шаг 3:  F_3 = F_2 + ν·h_3</t>
        </is>
      </c>
    </row>
    <row r="88" outlineLevel="1">
      <c r="B88" s="23">
        <f>"Выбрана колонка: "&amp;$E$109&amp;"   ·   Σ|rᵢ|: "&amp;TEXT(F96,"0.##")&amp;" → "&amp;TEXT(I119,"0.##")&amp;"   ·   Σrᵢ²: "&amp;TEXT(G96,"0.##")&amp;" → "&amp;TEXT(J119,"0.##")</f>
        <v/>
      </c>
    </row>
    <row r="89" outlineLevel="1">
      <c r="B89" s="13" t="inlineStr">
        <is>
          <t>A. Остатки текущей модели F_2   (Теория, раздел 3)</t>
        </is>
      </c>
    </row>
    <row r="90" outlineLevel="1" ht="46" customHeight="1">
      <c r="B90" s="21">
        <f>"Остаток — антиградиент квадратичной потери: rᵢ = yᵢ − F_2(xᵢ) = −∂L/∂F — «что модель ещё не выучила». Для A: "&amp;TEXT(D92,"0.##")&amp;" − "&amp;TEXT(C92,"0.##")&amp;" = "&amp;TEXT(E92,"0.##")&amp;"; для B: "&amp;TEXT(D93,"0.##")&amp;" − "&amp;TEXT(C93,"0.##")&amp;" = "&amp;TEXT(E93,"0.##")&amp;"; для C: "&amp;TEXT(D94,"0.##")&amp;" − "&amp;TEXT(C94,"0.##")&amp;" = "&amp;TEXT(E94,"0.##")&amp;"; для D: "&amp;TEXT(D95,"0.##")&amp;" − "&amp;TEXT(C95,"0.##")&amp;" = "&amp;TEXT(E95,"0.##")&amp;". Минус — завысили, плюс — занизили. Σ|rᵢ| = "&amp;TEXT(F96,"0.##")&amp;", Σrᵢ² = "&amp;TEXT(G96,"0.##")&amp;"."</f>
        <v/>
      </c>
    </row>
    <row r="91" outlineLevel="1" ht="30" customHeight="1">
      <c r="B91" s="16" t="inlineStr">
        <is>
          <t>Ноутбук</t>
        </is>
      </c>
      <c r="C91" s="16" t="inlineStr">
        <is>
          <t>Старое предсказание F_2(xᵢ)</t>
        </is>
      </c>
      <c r="D91" s="16" t="inlineStr">
        <is>
          <t>Реальная yᵢ</t>
        </is>
      </c>
      <c r="E91" s="16" t="inlineStr">
        <is>
          <t>Остаток rᵢ = yᵢ − F_2(xᵢ)</t>
        </is>
      </c>
      <c r="F91" s="16" t="inlineStr">
        <is>
          <t>|rᵢ|</t>
        </is>
      </c>
    </row>
    <row r="92" outlineLevel="1">
      <c r="B92" s="17" t="inlineStr">
        <is>
          <t>A</t>
        </is>
      </c>
      <c r="C92" s="24">
        <f>F81</f>
        <v/>
      </c>
      <c r="D92" s="25">
        <f>$E$11</f>
        <v/>
      </c>
      <c r="E92" s="20">
        <f>D92-C92</f>
        <v/>
      </c>
      <c r="F92" s="24">
        <f>ABS(E92)</f>
        <v/>
      </c>
    </row>
    <row r="93" outlineLevel="1">
      <c r="B93" s="17" t="inlineStr">
        <is>
          <t>B</t>
        </is>
      </c>
      <c r="C93" s="24">
        <f>F82</f>
        <v/>
      </c>
      <c r="D93" s="25">
        <f>$E$12</f>
        <v/>
      </c>
      <c r="E93" s="20">
        <f>D93-C93</f>
        <v/>
      </c>
      <c r="F93" s="24">
        <f>ABS(E93)</f>
        <v/>
      </c>
    </row>
    <row r="94" outlineLevel="1">
      <c r="B94" s="17" t="inlineStr">
        <is>
          <t>C</t>
        </is>
      </c>
      <c r="C94" s="24">
        <f>F83</f>
        <v/>
      </c>
      <c r="D94" s="25">
        <f>$E$13</f>
        <v/>
      </c>
      <c r="E94" s="20">
        <f>D94-C94</f>
        <v/>
      </c>
      <c r="F94" s="24">
        <f>ABS(E94)</f>
        <v/>
      </c>
    </row>
    <row r="95" outlineLevel="1">
      <c r="B95" s="17" t="inlineStr">
        <is>
          <t>D</t>
        </is>
      </c>
      <c r="C95" s="24">
        <f>F84</f>
        <v/>
      </c>
      <c r="D95" s="25">
        <f>$E$14</f>
        <v/>
      </c>
      <c r="E95" s="20">
        <f>D95-C95</f>
        <v/>
      </c>
      <c r="F95" s="24">
        <f>ABS(E95)</f>
        <v/>
      </c>
    </row>
    <row r="96" outlineLevel="1">
      <c r="B96" s="13" t="inlineStr">
        <is>
          <t>Σ|rᵢ|  и  Σrᵢ²</t>
        </is>
      </c>
      <c r="F96" s="20">
        <f>SUM(F92:F95)</f>
        <v/>
      </c>
      <c r="G96" s="20">
        <f>SUMSQ(E92:E95)</f>
        <v/>
      </c>
    </row>
    <row r="97" outlineLevel="1"/>
    <row r="98" outlineLevel="1">
      <c r="B98" s="13" t="inlineStr">
        <is>
          <t>B. Группировка по колонкам и поправки групп   (Теория, раздел 4)</t>
        </is>
      </c>
    </row>
    <row r="99" outlineLevel="1" ht="58" customHeight="1">
      <c r="B99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("&amp;TEXT(E92,"0.##")&amp;" + "&amp;TEXT(E93,"0.##")&amp;") / 2 = "&amp;TEXT(G101,"0.##")&amp;", остаётся "&amp;TEXT(H101,"0.##")&amp;";  экран 15″ {C, D}: γ = "&amp;TEXT(G102,"0.##")&amp;", остаётся "&amp;TEXT(H102,"0.##")&amp;";  SSD 256 {A, C}: γ = ("&amp;TEXT(E92,"0.##")&amp;" + "&amp;TEXT(E94,"0.##")&amp;") / 2 = "&amp;TEXT(G103,"0.##")&amp;", остаётся "&amp;TEXT(H103,"0.##")&amp;";  SSD 512 {B, D}: γ = "&amp;TEXT(G104,"0.##")&amp;", остаётся "&amp;TEXT(H104,"0.##")&amp;"."</f>
        <v/>
      </c>
    </row>
    <row r="100" outlineLevel="1" ht="30" customHeight="1">
      <c r="B100" s="16" t="inlineStr">
        <is>
          <t>Колонка</t>
        </is>
      </c>
      <c r="C100" s="16" t="inlineStr">
        <is>
          <t>Группа G</t>
        </is>
      </c>
      <c r="D100" s="16" t="inlineStr">
        <is>
          <t>Состав</t>
        </is>
      </c>
      <c r="E100" s="16" t="inlineStr">
        <is>
          <t>Σ остатков группы</t>
        </is>
      </c>
      <c r="F100" s="16" t="inlineStr">
        <is>
          <t>|G|</t>
        </is>
      </c>
      <c r="G100" s="16" t="inlineStr">
        <is>
          <t>Поправка γ_G = Σrᵢ / |G|</t>
        </is>
      </c>
      <c r="H100" s="16" t="inlineStr">
        <is>
          <t>Остаётся Σ(rᵢ − γ_G)²</t>
        </is>
      </c>
    </row>
    <row r="101" outlineLevel="1">
      <c r="B101" s="17" t="inlineStr">
        <is>
          <t>Экран</t>
        </is>
      </c>
      <c r="C101" s="18" t="inlineStr">
        <is>
          <t>13"</t>
        </is>
      </c>
      <c r="D101" s="18" t="inlineStr">
        <is>
          <t>A, B</t>
        </is>
      </c>
      <c r="E101" s="24">
        <f>E92+E93</f>
        <v/>
      </c>
      <c r="F101" s="26" t="n">
        <v>2</v>
      </c>
      <c r="G101" s="20">
        <f>E101/F101</f>
        <v/>
      </c>
      <c r="H101" s="24">
        <f>(E92-G101)^2+(E93-G101)^2</f>
        <v/>
      </c>
    </row>
    <row r="102" outlineLevel="1">
      <c r="B102" s="17" t="inlineStr">
        <is>
          <t>Экран</t>
        </is>
      </c>
      <c r="C102" s="18" t="inlineStr">
        <is>
          <t>15"</t>
        </is>
      </c>
      <c r="D102" s="18" t="inlineStr">
        <is>
          <t>C, D</t>
        </is>
      </c>
      <c r="E102" s="24">
        <f>E94+E95</f>
        <v/>
      </c>
      <c r="F102" s="26" t="n">
        <v>2</v>
      </c>
      <c r="G102" s="20">
        <f>E102/F102</f>
        <v/>
      </c>
      <c r="H102" s="24">
        <f>(E94-G102)^2+(E95-G102)^2</f>
        <v/>
      </c>
    </row>
    <row r="103" outlineLevel="1">
      <c r="B103" s="17" t="inlineStr">
        <is>
          <t>SSD</t>
        </is>
      </c>
      <c r="C103" s="18" t="inlineStr">
        <is>
          <t>256 ГБ</t>
        </is>
      </c>
      <c r="D103" s="18" t="inlineStr">
        <is>
          <t>A, C</t>
        </is>
      </c>
      <c r="E103" s="24">
        <f>E92+E94</f>
        <v/>
      </c>
      <c r="F103" s="26" t="n">
        <v>2</v>
      </c>
      <c r="G103" s="20">
        <f>E103/F103</f>
        <v/>
      </c>
      <c r="H103" s="24">
        <f>(E92-G103)^2+(E94-G103)^2</f>
        <v/>
      </c>
    </row>
    <row r="104" outlineLevel="1">
      <c r="B104" s="17" t="inlineStr">
        <is>
          <t>SSD</t>
        </is>
      </c>
      <c r="C104" s="18" t="inlineStr">
        <is>
          <t>512 ГБ</t>
        </is>
      </c>
      <c r="D104" s="18" t="inlineStr">
        <is>
          <t>B, D</t>
        </is>
      </c>
      <c r="E104" s="24">
        <f>E93+E95</f>
        <v/>
      </c>
      <c r="F104" s="26" t="n">
        <v>2</v>
      </c>
      <c r="G104" s="20">
        <f>E104/F104</f>
        <v/>
      </c>
      <c r="H104" s="24">
        <f>(E93-G104)^2+(E95-G104)^2</f>
        <v/>
      </c>
    </row>
    <row r="105" outlineLevel="1"/>
    <row r="106" outlineLevel="1">
      <c r="B106" s="13" t="inlineStr">
        <is>
          <t>C. Выбор колонки: наименьшая оставшаяся сумма квадратов   (Теория, раздел 5)</t>
        </is>
      </c>
    </row>
    <row r="107" outlineLevel="1" ht="44" customHeight="1">
      <c r="B107" s="21">
        <f>"Складываем ошибку, оставшуюся в двух группах каждой колонки, и берём минимум. Экран: "&amp;TEXT(H101,"0.##")&amp;" + "&amp;TEXT(H102,"0.##")&amp;" = "&amp;TEXT(C109,"0.##")&amp;";  SSD: "&amp;TEXT(H103,"0.##")&amp;" + "&amp;TEXT(H104,"0.##")&amp;" = "&amp;TEXT(C110,"0.##")&amp;".  Меньше у: "&amp;$E$109&amp;IF(MIN(C109:C110)&gt;0," (у соседки в "&amp;TEXT(MAX(C109:C110)/MIN(C109:C110),"0.00")&amp;" раза больше)","")&amp;". Значит h_3 строится по этой колонке, и каждому объекту достаётся γ его группы."</f>
        <v/>
      </c>
    </row>
    <row r="108" outlineLevel="1" ht="30" customHeight="1">
      <c r="B108" s="16" t="inlineStr">
        <is>
          <t>Колонка j</t>
        </is>
      </c>
      <c r="C108" s="16" t="inlineStr">
        <is>
          <t>Остаётся Σ(rᵢ − γ)² по обеим группам</t>
        </is>
      </c>
      <c r="D108" s="16" t="inlineStr">
        <is>
          <t>Во сколько раз больше минимума</t>
        </is>
      </c>
      <c r="E108" s="16" t="inlineStr">
        <is>
          <t>Выбор j* = argmin</t>
        </is>
      </c>
    </row>
    <row r="109" outlineLevel="1">
      <c r="B109" s="17" t="inlineStr">
        <is>
          <t>Экран</t>
        </is>
      </c>
      <c r="C109" s="24">
        <f>H101+H102</f>
        <v/>
      </c>
      <c r="D109" s="27">
        <f>IF(MIN(C109:C110)=0,"—",C109/MIN(C109:C110))</f>
        <v/>
      </c>
      <c r="E109" s="28">
        <f>IF(C109&lt;=C110,"экран","SSD")</f>
        <v/>
      </c>
    </row>
    <row r="110" outlineLevel="1">
      <c r="B110" s="17" t="inlineStr">
        <is>
          <t>SSD</t>
        </is>
      </c>
      <c r="C110" s="24">
        <f>H103+H104</f>
        <v/>
      </c>
      <c r="D110" s="27">
        <f>IF(MIN(C109:C110)=0,"—",C110/MIN(C109:C110))</f>
        <v/>
      </c>
      <c r="E110" s="18" t="n"/>
    </row>
    <row r="111" outlineLevel="1"/>
    <row r="112" outlineLevel="1">
      <c r="B112" s="13" t="inlineStr">
        <is>
          <t>D. Обновление модели: F_3(xᵢ) = F_2(xᵢ) + ν·h_3(xᵢ)   (Теория, раздел 6)</t>
        </is>
      </c>
    </row>
    <row r="113" outlineLevel="1" ht="62" customHeight="1">
      <c r="B113" s="21">
        <f>"Прибавляем не всю поправку, а долю ν = "&amp;TEXT($D$8,"0.00")&amp;". A: F_3(A) = "&amp;TEXT(C115,"0.##")&amp;" + "&amp;TEXT($D$8,"0.00")&amp;" × ("&amp;TEXT(D115,"0.##")&amp;") = "&amp;TEXT(F115,"0.##")&amp;", остаток "&amp;TEXT(G115,"0.##")&amp;" − "&amp;TEXT(F115,"0.##")&amp;" = "&amp;TEXT(H115,"0.##")&amp;";  D: F_3(D) = "&amp;TEXT(C118,"0.##")&amp;" + "&amp;TEXT($D$8,"0.00")&amp;" × ("&amp;TEXT(D118,"0.##")&amp;") = "&amp;TEXT(F118,"0.##")&amp;", остаток "&amp;TEXT(H118,"0.##")&amp;". "&amp;"Итог: Σ|rᵢ| = "&amp;TEXT(I119,"0.##")&amp;" (было "&amp;TEXT(F96,"0.##")&amp;"), Σrᵢ² = "&amp;TEXT(J119,"0.##")&amp;" (было "&amp;TEXT(G96,"0.##")&amp;"). Невыученная часть вклада колонки «"&amp;$E$109&amp;"» умножилась на (1 − ν) = "&amp;TEXT(1-$D$8,"0.00")&amp;": из "&amp;TEXT(MAX(ABS(D115),ABS(D116)),"0.##")&amp;" осталось "&amp;TEXT(MAX(ABS(D115),ABS(D116))*(1-$D$8),"0.##")&amp;"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114" outlineLevel="1" ht="30" customHeight="1">
      <c r="B114" s="16" t="inlineStr">
        <is>
          <t>Ноутбук</t>
        </is>
      </c>
      <c r="C114" s="16" t="inlineStr">
        <is>
          <t>F_{2}(xᵢ)</t>
        </is>
      </c>
      <c r="D114" s="16" t="inlineStr">
        <is>
          <t>h_3(xᵢ) — поправка выбранной колонки</t>
        </is>
      </c>
      <c r="E114" s="16" t="inlineStr">
        <is>
          <t>ν·h_3(xᵢ)</t>
        </is>
      </c>
      <c r="F114" s="16" t="inlineStr">
        <is>
          <t>F_3(xᵢ) = F_{2} + ν·h_3</t>
        </is>
      </c>
      <c r="G114" s="16" t="inlineStr">
        <is>
          <t>yᵢ</t>
        </is>
      </c>
      <c r="H114" s="16" t="inlineStr">
        <is>
          <t>Новый остаток yᵢ − F_3(xᵢ)</t>
        </is>
      </c>
      <c r="I114" s="16" t="inlineStr">
        <is>
          <t>|остаток|</t>
        </is>
      </c>
      <c r="J114" s="16" t="inlineStr">
        <is>
          <t>остаток²</t>
        </is>
      </c>
    </row>
    <row r="115" outlineLevel="1">
      <c r="B115" s="17" t="inlineStr">
        <is>
          <t>A</t>
        </is>
      </c>
      <c r="C115" s="24">
        <f>F81</f>
        <v/>
      </c>
      <c r="D115" s="24">
        <f>IF($E$109="экран",G101,G103)</f>
        <v/>
      </c>
      <c r="E115" s="24">
        <f>$D$8*D115</f>
        <v/>
      </c>
      <c r="F115" s="20">
        <f>C115+E115</f>
        <v/>
      </c>
      <c r="G115" s="25">
        <f>$E$11</f>
        <v/>
      </c>
      <c r="H115" s="20">
        <f>G115-F115</f>
        <v/>
      </c>
      <c r="I115" s="24">
        <f>ABS(H115)</f>
        <v/>
      </c>
      <c r="J115" s="24">
        <f>H115^2</f>
        <v/>
      </c>
    </row>
    <row r="116" outlineLevel="1">
      <c r="B116" s="17" t="inlineStr">
        <is>
          <t>B</t>
        </is>
      </c>
      <c r="C116" s="24">
        <f>F82</f>
        <v/>
      </c>
      <c r="D116" s="24">
        <f>IF($E$109="экран",G101,G104)</f>
        <v/>
      </c>
      <c r="E116" s="24">
        <f>$D$8*D116</f>
        <v/>
      </c>
      <c r="F116" s="20">
        <f>C116+E116</f>
        <v/>
      </c>
      <c r="G116" s="25">
        <f>$E$12</f>
        <v/>
      </c>
      <c r="H116" s="20">
        <f>G116-F116</f>
        <v/>
      </c>
      <c r="I116" s="24">
        <f>ABS(H116)</f>
        <v/>
      </c>
      <c r="J116" s="24">
        <f>H116^2</f>
        <v/>
      </c>
    </row>
    <row r="117" outlineLevel="1">
      <c r="B117" s="17" t="inlineStr">
        <is>
          <t>C</t>
        </is>
      </c>
      <c r="C117" s="24">
        <f>F83</f>
        <v/>
      </c>
      <c r="D117" s="24">
        <f>IF($E$109="экран",G102,G103)</f>
        <v/>
      </c>
      <c r="E117" s="24">
        <f>$D$8*D117</f>
        <v/>
      </c>
      <c r="F117" s="20">
        <f>C117+E117</f>
        <v/>
      </c>
      <c r="G117" s="25">
        <f>$E$13</f>
        <v/>
      </c>
      <c r="H117" s="20">
        <f>G117-F117</f>
        <v/>
      </c>
      <c r="I117" s="24">
        <f>ABS(H117)</f>
        <v/>
      </c>
      <c r="J117" s="24">
        <f>H117^2</f>
        <v/>
      </c>
    </row>
    <row r="118" outlineLevel="1">
      <c r="B118" s="17" t="inlineStr">
        <is>
          <t>D</t>
        </is>
      </c>
      <c r="C118" s="24">
        <f>F84</f>
        <v/>
      </c>
      <c r="D118" s="24">
        <f>IF($E$109="экран",G102,G104)</f>
        <v/>
      </c>
      <c r="E118" s="24">
        <f>$D$8*D118</f>
        <v/>
      </c>
      <c r="F118" s="20">
        <f>C118+E118</f>
        <v/>
      </c>
      <c r="G118" s="25">
        <f>$E$14</f>
        <v/>
      </c>
      <c r="H118" s="20">
        <f>G118-F118</f>
        <v/>
      </c>
      <c r="I118" s="24">
        <f>ABS(H118)</f>
        <v/>
      </c>
      <c r="J118" s="24">
        <f>H118^2</f>
        <v/>
      </c>
    </row>
    <row r="119" outlineLevel="1">
      <c r="B119" s="13" t="inlineStr">
        <is>
          <t>Итого после шага:  Σ|rᵢ|  и  Σrᵢ²</t>
        </is>
      </c>
      <c r="I119" s="20">
        <f>SUM(I115:I118)</f>
        <v/>
      </c>
      <c r="J119" s="20">
        <f>SUM(J115:J118)</f>
        <v/>
      </c>
    </row>
    <row r="121" ht="22" customHeight="1">
      <c r="B121" s="22" t="inlineStr">
        <is>
          <t>Шаг 4:  F_4 = F_3 + ν·h_4</t>
        </is>
      </c>
    </row>
    <row r="122" outlineLevel="1">
      <c r="B122" s="23">
        <f>"Выбрана колонка: "&amp;$E$143&amp;"   ·   Σ|rᵢ|: "&amp;TEXT(F130,"0.##")&amp;" → "&amp;TEXT(I153,"0.##")&amp;"   ·   Σrᵢ²: "&amp;TEXT(G130,"0.##")&amp;" → "&amp;TEXT(J153,"0.##")</f>
        <v/>
      </c>
    </row>
    <row r="123" outlineLevel="1">
      <c r="B123" s="13" t="inlineStr">
        <is>
          <t>A. Остатки текущей модели F_3   (Теория, раздел 3)</t>
        </is>
      </c>
    </row>
    <row r="124" outlineLevel="1" ht="46" customHeight="1">
      <c r="B124" s="21">
        <f>"Остаток — антиградиент квадратичной потери: rᵢ = yᵢ − F_3(xᵢ) = −∂L/∂F — «что модель ещё не выучила». Для A: "&amp;TEXT(D126,"0.##")&amp;" − "&amp;TEXT(C126,"0.##")&amp;" = "&amp;TEXT(E126,"0.##")&amp;"; для B: "&amp;TEXT(D127,"0.##")&amp;" − "&amp;TEXT(C127,"0.##")&amp;" = "&amp;TEXT(E127,"0.##")&amp;"; для C: "&amp;TEXT(D128,"0.##")&amp;" − "&amp;TEXT(C128,"0.##")&amp;" = "&amp;TEXT(E128,"0.##")&amp;"; для D: "&amp;TEXT(D129,"0.##")&amp;" − "&amp;TEXT(C129,"0.##")&amp;" = "&amp;TEXT(E129,"0.##")&amp;". Минус — завысили, плюс — занизили. Σ|rᵢ| = "&amp;TEXT(F130,"0.##")&amp;", Σrᵢ² = "&amp;TEXT(G130,"0.##")&amp;"."</f>
        <v/>
      </c>
    </row>
    <row r="125" outlineLevel="1" ht="30" customHeight="1">
      <c r="B125" s="16" t="inlineStr">
        <is>
          <t>Ноутбук</t>
        </is>
      </c>
      <c r="C125" s="16" t="inlineStr">
        <is>
          <t>Старое предсказание F_3(xᵢ)</t>
        </is>
      </c>
      <c r="D125" s="16" t="inlineStr">
        <is>
          <t>Реальная yᵢ</t>
        </is>
      </c>
      <c r="E125" s="16" t="inlineStr">
        <is>
          <t>Остаток rᵢ = yᵢ − F_3(xᵢ)</t>
        </is>
      </c>
      <c r="F125" s="16" t="inlineStr">
        <is>
          <t>|rᵢ|</t>
        </is>
      </c>
    </row>
    <row r="126" outlineLevel="1">
      <c r="B126" s="17" t="inlineStr">
        <is>
          <t>A</t>
        </is>
      </c>
      <c r="C126" s="24">
        <f>F115</f>
        <v/>
      </c>
      <c r="D126" s="25">
        <f>$E$11</f>
        <v/>
      </c>
      <c r="E126" s="20">
        <f>D126-C126</f>
        <v/>
      </c>
      <c r="F126" s="24">
        <f>ABS(E126)</f>
        <v/>
      </c>
    </row>
    <row r="127" outlineLevel="1">
      <c r="B127" s="17" t="inlineStr">
        <is>
          <t>B</t>
        </is>
      </c>
      <c r="C127" s="24">
        <f>F116</f>
        <v/>
      </c>
      <c r="D127" s="25">
        <f>$E$12</f>
        <v/>
      </c>
      <c r="E127" s="20">
        <f>D127-C127</f>
        <v/>
      </c>
      <c r="F127" s="24">
        <f>ABS(E127)</f>
        <v/>
      </c>
    </row>
    <row r="128" outlineLevel="1">
      <c r="B128" s="17" t="inlineStr">
        <is>
          <t>C</t>
        </is>
      </c>
      <c r="C128" s="24">
        <f>F117</f>
        <v/>
      </c>
      <c r="D128" s="25">
        <f>$E$13</f>
        <v/>
      </c>
      <c r="E128" s="20">
        <f>D128-C128</f>
        <v/>
      </c>
      <c r="F128" s="24">
        <f>ABS(E128)</f>
        <v/>
      </c>
    </row>
    <row r="129" outlineLevel="1">
      <c r="B129" s="17" t="inlineStr">
        <is>
          <t>D</t>
        </is>
      </c>
      <c r="C129" s="24">
        <f>F118</f>
        <v/>
      </c>
      <c r="D129" s="25">
        <f>$E$14</f>
        <v/>
      </c>
      <c r="E129" s="20">
        <f>D129-C129</f>
        <v/>
      </c>
      <c r="F129" s="24">
        <f>ABS(E129)</f>
        <v/>
      </c>
    </row>
    <row r="130" outlineLevel="1">
      <c r="B130" s="13" t="inlineStr">
        <is>
          <t>Σ|rᵢ|  и  Σrᵢ²</t>
        </is>
      </c>
      <c r="F130" s="20">
        <f>SUM(F126:F129)</f>
        <v/>
      </c>
      <c r="G130" s="20">
        <f>SUMSQ(E126:E129)</f>
        <v/>
      </c>
    </row>
    <row r="131" outlineLevel="1"/>
    <row r="132" outlineLevel="1">
      <c r="B132" s="13" t="inlineStr">
        <is>
          <t>B. Группировка по колонкам и поправки групп   (Теория, раздел 4)</t>
        </is>
      </c>
    </row>
    <row r="133" outlineLevel="1" ht="58" customHeight="1">
      <c r="B133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("&amp;TEXT(E126,"0.##")&amp;" + "&amp;TEXT(E127,"0.##")&amp;") / 2 = "&amp;TEXT(G135,"0.##")&amp;", остаётся "&amp;TEXT(H135,"0.##")&amp;";  экран 15″ {C, D}: γ = "&amp;TEXT(G136,"0.##")&amp;", остаётся "&amp;TEXT(H136,"0.##")&amp;";  SSD 256 {A, C}: γ = ("&amp;TEXT(E126,"0.##")&amp;" + "&amp;TEXT(E128,"0.##")&amp;") / 2 = "&amp;TEXT(G137,"0.##")&amp;", остаётся "&amp;TEXT(H137,"0.##")&amp;";  SSD 512 {B, D}: γ = "&amp;TEXT(G138,"0.##")&amp;", остаётся "&amp;TEXT(H138,"0.##")&amp;"."</f>
        <v/>
      </c>
    </row>
    <row r="134" outlineLevel="1" ht="30" customHeight="1">
      <c r="B134" s="16" t="inlineStr">
        <is>
          <t>Колонка</t>
        </is>
      </c>
      <c r="C134" s="16" t="inlineStr">
        <is>
          <t>Группа G</t>
        </is>
      </c>
      <c r="D134" s="16" t="inlineStr">
        <is>
          <t>Состав</t>
        </is>
      </c>
      <c r="E134" s="16" t="inlineStr">
        <is>
          <t>Σ остатков группы</t>
        </is>
      </c>
      <c r="F134" s="16" t="inlineStr">
        <is>
          <t>|G|</t>
        </is>
      </c>
      <c r="G134" s="16" t="inlineStr">
        <is>
          <t>Поправка γ_G = Σrᵢ / |G|</t>
        </is>
      </c>
      <c r="H134" s="16" t="inlineStr">
        <is>
          <t>Остаётся Σ(rᵢ − γ_G)²</t>
        </is>
      </c>
    </row>
    <row r="135" outlineLevel="1">
      <c r="B135" s="17" t="inlineStr">
        <is>
          <t>Экран</t>
        </is>
      </c>
      <c r="C135" s="18" t="inlineStr">
        <is>
          <t>13"</t>
        </is>
      </c>
      <c r="D135" s="18" t="inlineStr">
        <is>
          <t>A, B</t>
        </is>
      </c>
      <c r="E135" s="24">
        <f>E126+E127</f>
        <v/>
      </c>
      <c r="F135" s="26" t="n">
        <v>2</v>
      </c>
      <c r="G135" s="20">
        <f>E135/F135</f>
        <v/>
      </c>
      <c r="H135" s="24">
        <f>(E126-G135)^2+(E127-G135)^2</f>
        <v/>
      </c>
    </row>
    <row r="136" outlineLevel="1">
      <c r="B136" s="17" t="inlineStr">
        <is>
          <t>Экран</t>
        </is>
      </c>
      <c r="C136" s="18" t="inlineStr">
        <is>
          <t>15"</t>
        </is>
      </c>
      <c r="D136" s="18" t="inlineStr">
        <is>
          <t>C, D</t>
        </is>
      </c>
      <c r="E136" s="24">
        <f>E128+E129</f>
        <v/>
      </c>
      <c r="F136" s="26" t="n">
        <v>2</v>
      </c>
      <c r="G136" s="20">
        <f>E136/F136</f>
        <v/>
      </c>
      <c r="H136" s="24">
        <f>(E128-G136)^2+(E129-G136)^2</f>
        <v/>
      </c>
    </row>
    <row r="137" outlineLevel="1">
      <c r="B137" s="17" t="inlineStr">
        <is>
          <t>SSD</t>
        </is>
      </c>
      <c r="C137" s="18" t="inlineStr">
        <is>
          <t>256 ГБ</t>
        </is>
      </c>
      <c r="D137" s="18" t="inlineStr">
        <is>
          <t>A, C</t>
        </is>
      </c>
      <c r="E137" s="24">
        <f>E126+E128</f>
        <v/>
      </c>
      <c r="F137" s="26" t="n">
        <v>2</v>
      </c>
      <c r="G137" s="20">
        <f>E137/F137</f>
        <v/>
      </c>
      <c r="H137" s="24">
        <f>(E126-G137)^2+(E128-G137)^2</f>
        <v/>
      </c>
    </row>
    <row r="138" outlineLevel="1">
      <c r="B138" s="17" t="inlineStr">
        <is>
          <t>SSD</t>
        </is>
      </c>
      <c r="C138" s="18" t="inlineStr">
        <is>
          <t>512 ГБ</t>
        </is>
      </c>
      <c r="D138" s="18" t="inlineStr">
        <is>
          <t>B, D</t>
        </is>
      </c>
      <c r="E138" s="24">
        <f>E127+E129</f>
        <v/>
      </c>
      <c r="F138" s="26" t="n">
        <v>2</v>
      </c>
      <c r="G138" s="20">
        <f>E138/F138</f>
        <v/>
      </c>
      <c r="H138" s="24">
        <f>(E127-G138)^2+(E129-G138)^2</f>
        <v/>
      </c>
    </row>
    <row r="139" outlineLevel="1"/>
    <row r="140" outlineLevel="1">
      <c r="B140" s="13" t="inlineStr">
        <is>
          <t>C. Выбор колонки: наименьшая оставшаяся сумма квадратов   (Теория, раздел 5)</t>
        </is>
      </c>
    </row>
    <row r="141" outlineLevel="1" ht="44" customHeight="1">
      <c r="B141" s="21">
        <f>"Складываем ошибку, оставшуюся в двух группах каждой колонки, и берём минимум. Экран: "&amp;TEXT(H135,"0.##")&amp;" + "&amp;TEXT(H136,"0.##")&amp;" = "&amp;TEXT(C143,"0.##")&amp;";  SSD: "&amp;TEXT(H137,"0.##")&amp;" + "&amp;TEXT(H138,"0.##")&amp;" = "&amp;TEXT(C144,"0.##")&amp;".  Меньше у: "&amp;$E$143&amp;IF(MIN(C143:C144)&gt;0," (у соседки в "&amp;TEXT(MAX(C143:C144)/MIN(C143:C144),"0.00")&amp;" раза больше)","")&amp;". Значит h_4 строится по этой колонке, и каждому объекту достаётся γ его группы."</f>
        <v/>
      </c>
    </row>
    <row r="142" outlineLevel="1" ht="30" customHeight="1">
      <c r="B142" s="16" t="inlineStr">
        <is>
          <t>Колонка j</t>
        </is>
      </c>
      <c r="C142" s="16" t="inlineStr">
        <is>
          <t>Остаётся Σ(rᵢ − γ)² по обеим группам</t>
        </is>
      </c>
      <c r="D142" s="16" t="inlineStr">
        <is>
          <t>Во сколько раз больше минимума</t>
        </is>
      </c>
      <c r="E142" s="16" t="inlineStr">
        <is>
          <t>Выбор j* = argmin</t>
        </is>
      </c>
    </row>
    <row r="143" outlineLevel="1">
      <c r="B143" s="17" t="inlineStr">
        <is>
          <t>Экран</t>
        </is>
      </c>
      <c r="C143" s="24">
        <f>H135+H136</f>
        <v/>
      </c>
      <c r="D143" s="27">
        <f>IF(MIN(C143:C144)=0,"—",C143/MIN(C143:C144))</f>
        <v/>
      </c>
      <c r="E143" s="28">
        <f>IF(C143&lt;=C144,"экран","SSD")</f>
        <v/>
      </c>
    </row>
    <row r="144" outlineLevel="1">
      <c r="B144" s="17" t="inlineStr">
        <is>
          <t>SSD</t>
        </is>
      </c>
      <c r="C144" s="24">
        <f>H137+H138</f>
        <v/>
      </c>
      <c r="D144" s="27">
        <f>IF(MIN(C143:C144)=0,"—",C144/MIN(C143:C144))</f>
        <v/>
      </c>
      <c r="E144" s="18" t="n"/>
    </row>
    <row r="145" outlineLevel="1"/>
    <row r="146" outlineLevel="1">
      <c r="B146" s="13" t="inlineStr">
        <is>
          <t>D. Обновление модели: F_4(xᵢ) = F_3(xᵢ) + ν·h_4(xᵢ)   (Теория, раздел 6)</t>
        </is>
      </c>
    </row>
    <row r="147" outlineLevel="1" ht="62" customHeight="1">
      <c r="B147" s="21">
        <f>"Прибавляем не всю поправку, а долю ν = "&amp;TEXT($D$8,"0.00")&amp;". A: F_4(A) = "&amp;TEXT(C149,"0.##")&amp;" + "&amp;TEXT($D$8,"0.00")&amp;" × ("&amp;TEXT(D149,"0.##")&amp;") = "&amp;TEXT(F149,"0.##")&amp;", остаток "&amp;TEXT(G149,"0.##")&amp;" − "&amp;TEXT(F149,"0.##")&amp;" = "&amp;TEXT(H149,"0.##")&amp;";  D: F_4(D) = "&amp;TEXT(C152,"0.##")&amp;" + "&amp;TEXT($D$8,"0.00")&amp;" × ("&amp;TEXT(D152,"0.##")&amp;") = "&amp;TEXT(F152,"0.##")&amp;", остаток "&amp;TEXT(H152,"0.##")&amp;". "&amp;"Итог: Σ|rᵢ| = "&amp;TEXT(I153,"0.##")&amp;" (было "&amp;TEXT(F130,"0.##")&amp;"), Σrᵢ² = "&amp;TEXT(J153,"0.##")&amp;" (было "&amp;TEXT(G130,"0.##")&amp;"). Невыученная часть вклада колонки «"&amp;$E$143&amp;"» умножилась на (1 − ν) = "&amp;TEXT(1-$D$8,"0.00")&amp;": из "&amp;TEXT(MAX(ABS(D149),ABS(D150)),"0.##")&amp;" осталось "&amp;TEXT(MAX(ABS(D149),ABS(D150))*(1-$D$8),"0.##")&amp;"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148" outlineLevel="1" ht="30" customHeight="1">
      <c r="B148" s="16" t="inlineStr">
        <is>
          <t>Ноутбук</t>
        </is>
      </c>
      <c r="C148" s="16" t="inlineStr">
        <is>
          <t>F_{3}(xᵢ)</t>
        </is>
      </c>
      <c r="D148" s="16" t="inlineStr">
        <is>
          <t>h_4(xᵢ) — поправка выбранной колонки</t>
        </is>
      </c>
      <c r="E148" s="16" t="inlineStr">
        <is>
          <t>ν·h_4(xᵢ)</t>
        </is>
      </c>
      <c r="F148" s="16" t="inlineStr">
        <is>
          <t>F_4(xᵢ) = F_{3} + ν·h_4</t>
        </is>
      </c>
      <c r="G148" s="16" t="inlineStr">
        <is>
          <t>yᵢ</t>
        </is>
      </c>
      <c r="H148" s="16" t="inlineStr">
        <is>
          <t>Новый остаток yᵢ − F_4(xᵢ)</t>
        </is>
      </c>
      <c r="I148" s="16" t="inlineStr">
        <is>
          <t>|остаток|</t>
        </is>
      </c>
      <c r="J148" s="16" t="inlineStr">
        <is>
          <t>остаток²</t>
        </is>
      </c>
    </row>
    <row r="149" outlineLevel="1">
      <c r="B149" s="17" t="inlineStr">
        <is>
          <t>A</t>
        </is>
      </c>
      <c r="C149" s="24">
        <f>F115</f>
        <v/>
      </c>
      <c r="D149" s="24">
        <f>IF($E$143="экран",G135,G137)</f>
        <v/>
      </c>
      <c r="E149" s="24">
        <f>$D$8*D149</f>
        <v/>
      </c>
      <c r="F149" s="20">
        <f>C149+E149</f>
        <v/>
      </c>
      <c r="G149" s="25">
        <f>$E$11</f>
        <v/>
      </c>
      <c r="H149" s="20">
        <f>G149-F149</f>
        <v/>
      </c>
      <c r="I149" s="24">
        <f>ABS(H149)</f>
        <v/>
      </c>
      <c r="J149" s="24">
        <f>H149^2</f>
        <v/>
      </c>
    </row>
    <row r="150" outlineLevel="1">
      <c r="B150" s="17" t="inlineStr">
        <is>
          <t>B</t>
        </is>
      </c>
      <c r="C150" s="24">
        <f>F116</f>
        <v/>
      </c>
      <c r="D150" s="24">
        <f>IF($E$143="экран",G135,G138)</f>
        <v/>
      </c>
      <c r="E150" s="24">
        <f>$D$8*D150</f>
        <v/>
      </c>
      <c r="F150" s="20">
        <f>C150+E150</f>
        <v/>
      </c>
      <c r="G150" s="25">
        <f>$E$12</f>
        <v/>
      </c>
      <c r="H150" s="20">
        <f>G150-F150</f>
        <v/>
      </c>
      <c r="I150" s="24">
        <f>ABS(H150)</f>
        <v/>
      </c>
      <c r="J150" s="24">
        <f>H150^2</f>
        <v/>
      </c>
    </row>
    <row r="151" outlineLevel="1">
      <c r="B151" s="17" t="inlineStr">
        <is>
          <t>C</t>
        </is>
      </c>
      <c r="C151" s="24">
        <f>F117</f>
        <v/>
      </c>
      <c r="D151" s="24">
        <f>IF($E$143="экран",G136,G137)</f>
        <v/>
      </c>
      <c r="E151" s="24">
        <f>$D$8*D151</f>
        <v/>
      </c>
      <c r="F151" s="20">
        <f>C151+E151</f>
        <v/>
      </c>
      <c r="G151" s="25">
        <f>$E$13</f>
        <v/>
      </c>
      <c r="H151" s="20">
        <f>G151-F151</f>
        <v/>
      </c>
      <c r="I151" s="24">
        <f>ABS(H151)</f>
        <v/>
      </c>
      <c r="J151" s="24">
        <f>H151^2</f>
        <v/>
      </c>
    </row>
    <row r="152" outlineLevel="1">
      <c r="B152" s="17" t="inlineStr">
        <is>
          <t>D</t>
        </is>
      </c>
      <c r="C152" s="24">
        <f>F118</f>
        <v/>
      </c>
      <c r="D152" s="24">
        <f>IF($E$143="экран",G136,G138)</f>
        <v/>
      </c>
      <c r="E152" s="24">
        <f>$D$8*D152</f>
        <v/>
      </c>
      <c r="F152" s="20">
        <f>C152+E152</f>
        <v/>
      </c>
      <c r="G152" s="25">
        <f>$E$14</f>
        <v/>
      </c>
      <c r="H152" s="20">
        <f>G152-F152</f>
        <v/>
      </c>
      <c r="I152" s="24">
        <f>ABS(H152)</f>
        <v/>
      </c>
      <c r="J152" s="24">
        <f>H152^2</f>
        <v/>
      </c>
    </row>
    <row r="153" outlineLevel="1">
      <c r="B153" s="13" t="inlineStr">
        <is>
          <t>Итого после шага:  Σ|rᵢ|  и  Σrᵢ²</t>
        </is>
      </c>
      <c r="I153" s="20">
        <f>SUM(I149:I152)</f>
        <v/>
      </c>
      <c r="J153" s="20">
        <f>SUM(J149:J152)</f>
        <v/>
      </c>
    </row>
    <row r="155" ht="22" customHeight="1">
      <c r="B155" s="22" t="inlineStr">
        <is>
          <t>Шаг 5:  F_5 = F_4 + ν·h_5</t>
        </is>
      </c>
    </row>
    <row r="156" outlineLevel="1">
      <c r="B156" s="23">
        <f>"Выбрана колонка: "&amp;$E$177&amp;"   ·   Σ|rᵢ|: "&amp;TEXT(F164,"0.##")&amp;" → "&amp;TEXT(I187,"0.##")&amp;"   ·   Σrᵢ²: "&amp;TEXT(G164,"0.##")&amp;" → "&amp;TEXT(J187,"0.##")</f>
        <v/>
      </c>
    </row>
    <row r="157" outlineLevel="1">
      <c r="B157" s="13" t="inlineStr">
        <is>
          <t>A. Остатки текущей модели F_4   (Теория, раздел 3)</t>
        </is>
      </c>
    </row>
    <row r="158" outlineLevel="1" ht="46" customHeight="1">
      <c r="B158" s="21">
        <f>"Остаток — антиградиент квадратичной потери: rᵢ = yᵢ − F_4(xᵢ) = −∂L/∂F — «что модель ещё не выучила». Для A: "&amp;TEXT(D160,"0.##")&amp;" − "&amp;TEXT(C160,"0.##")&amp;" = "&amp;TEXT(E160,"0.##")&amp;"; для B: "&amp;TEXT(D161,"0.##")&amp;" − "&amp;TEXT(C161,"0.##")&amp;" = "&amp;TEXT(E161,"0.##")&amp;"; для C: "&amp;TEXT(D162,"0.##")&amp;" − "&amp;TEXT(C162,"0.##")&amp;" = "&amp;TEXT(E162,"0.##")&amp;"; для D: "&amp;TEXT(D163,"0.##")&amp;" − "&amp;TEXT(C163,"0.##")&amp;" = "&amp;TEXT(E163,"0.##")&amp;". Минус — завысили, плюс — занизили. Σ|rᵢ| = "&amp;TEXT(F164,"0.##")&amp;", Σrᵢ² = "&amp;TEXT(G164,"0.##")&amp;"."</f>
        <v/>
      </c>
    </row>
    <row r="159" outlineLevel="1" ht="30" customHeight="1">
      <c r="B159" s="16" t="inlineStr">
        <is>
          <t>Ноутбук</t>
        </is>
      </c>
      <c r="C159" s="16" t="inlineStr">
        <is>
          <t>Старое предсказание F_4(xᵢ)</t>
        </is>
      </c>
      <c r="D159" s="16" t="inlineStr">
        <is>
          <t>Реальная yᵢ</t>
        </is>
      </c>
      <c r="E159" s="16" t="inlineStr">
        <is>
          <t>Остаток rᵢ = yᵢ − F_4(xᵢ)</t>
        </is>
      </c>
      <c r="F159" s="16" t="inlineStr">
        <is>
          <t>|rᵢ|</t>
        </is>
      </c>
    </row>
    <row r="160" outlineLevel="1">
      <c r="B160" s="17" t="inlineStr">
        <is>
          <t>A</t>
        </is>
      </c>
      <c r="C160" s="24">
        <f>F149</f>
        <v/>
      </c>
      <c r="D160" s="25">
        <f>$E$11</f>
        <v/>
      </c>
      <c r="E160" s="20">
        <f>D160-C160</f>
        <v/>
      </c>
      <c r="F160" s="24">
        <f>ABS(E160)</f>
        <v/>
      </c>
    </row>
    <row r="161" outlineLevel="1">
      <c r="B161" s="17" t="inlineStr">
        <is>
          <t>B</t>
        </is>
      </c>
      <c r="C161" s="24">
        <f>F150</f>
        <v/>
      </c>
      <c r="D161" s="25">
        <f>$E$12</f>
        <v/>
      </c>
      <c r="E161" s="20">
        <f>D161-C161</f>
        <v/>
      </c>
      <c r="F161" s="24">
        <f>ABS(E161)</f>
        <v/>
      </c>
    </row>
    <row r="162" outlineLevel="1">
      <c r="B162" s="17" t="inlineStr">
        <is>
          <t>C</t>
        </is>
      </c>
      <c r="C162" s="24">
        <f>F151</f>
        <v/>
      </c>
      <c r="D162" s="25">
        <f>$E$13</f>
        <v/>
      </c>
      <c r="E162" s="20">
        <f>D162-C162</f>
        <v/>
      </c>
      <c r="F162" s="24">
        <f>ABS(E162)</f>
        <v/>
      </c>
    </row>
    <row r="163" outlineLevel="1">
      <c r="B163" s="17" t="inlineStr">
        <is>
          <t>D</t>
        </is>
      </c>
      <c r="C163" s="24">
        <f>F152</f>
        <v/>
      </c>
      <c r="D163" s="25">
        <f>$E$14</f>
        <v/>
      </c>
      <c r="E163" s="20">
        <f>D163-C163</f>
        <v/>
      </c>
      <c r="F163" s="24">
        <f>ABS(E163)</f>
        <v/>
      </c>
    </row>
    <row r="164" outlineLevel="1">
      <c r="B164" s="13" t="inlineStr">
        <is>
          <t>Σ|rᵢ|  и  Σrᵢ²</t>
        </is>
      </c>
      <c r="F164" s="20">
        <f>SUM(F160:F163)</f>
        <v/>
      </c>
      <c r="G164" s="20">
        <f>SUMSQ(E160:E163)</f>
        <v/>
      </c>
    </row>
    <row r="165" outlineLevel="1"/>
    <row r="166" outlineLevel="1">
      <c r="B166" s="13" t="inlineStr">
        <is>
          <t>B. Группировка по колонкам и поправки групп   (Теория, раздел 4)</t>
        </is>
      </c>
    </row>
    <row r="167" outlineLevel="1" ht="58" customHeight="1">
      <c r="B167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("&amp;TEXT(E160,"0.##")&amp;" + "&amp;TEXT(E161,"0.##")&amp;") / 2 = "&amp;TEXT(G169,"0.##")&amp;", остаётся "&amp;TEXT(H169,"0.##")&amp;";  экран 15″ {C, D}: γ = "&amp;TEXT(G170,"0.##")&amp;", остаётся "&amp;TEXT(H170,"0.##")&amp;";  SSD 256 {A, C}: γ = ("&amp;TEXT(E160,"0.##")&amp;" + "&amp;TEXT(E162,"0.##")&amp;") / 2 = "&amp;TEXT(G171,"0.##")&amp;", остаётся "&amp;TEXT(H171,"0.##")&amp;";  SSD 512 {B, D}: γ = "&amp;TEXT(G172,"0.##")&amp;", остаётся "&amp;TEXT(H172,"0.##")&amp;"."</f>
        <v/>
      </c>
    </row>
    <row r="168" outlineLevel="1" ht="30" customHeight="1">
      <c r="B168" s="16" t="inlineStr">
        <is>
          <t>Колонка</t>
        </is>
      </c>
      <c r="C168" s="16" t="inlineStr">
        <is>
          <t>Группа G</t>
        </is>
      </c>
      <c r="D168" s="16" t="inlineStr">
        <is>
          <t>Состав</t>
        </is>
      </c>
      <c r="E168" s="16" t="inlineStr">
        <is>
          <t>Σ остатков группы</t>
        </is>
      </c>
      <c r="F168" s="16" t="inlineStr">
        <is>
          <t>|G|</t>
        </is>
      </c>
      <c r="G168" s="16" t="inlineStr">
        <is>
          <t>Поправка γ_G = Σrᵢ / |G|</t>
        </is>
      </c>
      <c r="H168" s="16" t="inlineStr">
        <is>
          <t>Остаётся Σ(rᵢ − γ_G)²</t>
        </is>
      </c>
    </row>
    <row r="169" outlineLevel="1">
      <c r="B169" s="17" t="inlineStr">
        <is>
          <t>Экран</t>
        </is>
      </c>
      <c r="C169" s="18" t="inlineStr">
        <is>
          <t>13"</t>
        </is>
      </c>
      <c r="D169" s="18" t="inlineStr">
        <is>
          <t>A, B</t>
        </is>
      </c>
      <c r="E169" s="24">
        <f>E160+E161</f>
        <v/>
      </c>
      <c r="F169" s="26" t="n">
        <v>2</v>
      </c>
      <c r="G169" s="20">
        <f>E169/F169</f>
        <v/>
      </c>
      <c r="H169" s="24">
        <f>(E160-G169)^2+(E161-G169)^2</f>
        <v/>
      </c>
    </row>
    <row r="170" outlineLevel="1">
      <c r="B170" s="17" t="inlineStr">
        <is>
          <t>Экран</t>
        </is>
      </c>
      <c r="C170" s="18" t="inlineStr">
        <is>
          <t>15"</t>
        </is>
      </c>
      <c r="D170" s="18" t="inlineStr">
        <is>
          <t>C, D</t>
        </is>
      </c>
      <c r="E170" s="24">
        <f>E162+E163</f>
        <v/>
      </c>
      <c r="F170" s="26" t="n">
        <v>2</v>
      </c>
      <c r="G170" s="20">
        <f>E170/F170</f>
        <v/>
      </c>
      <c r="H170" s="24">
        <f>(E162-G170)^2+(E163-G170)^2</f>
        <v/>
      </c>
    </row>
    <row r="171" outlineLevel="1">
      <c r="B171" s="17" t="inlineStr">
        <is>
          <t>SSD</t>
        </is>
      </c>
      <c r="C171" s="18" t="inlineStr">
        <is>
          <t>256 ГБ</t>
        </is>
      </c>
      <c r="D171" s="18" t="inlineStr">
        <is>
          <t>A, C</t>
        </is>
      </c>
      <c r="E171" s="24">
        <f>E160+E162</f>
        <v/>
      </c>
      <c r="F171" s="26" t="n">
        <v>2</v>
      </c>
      <c r="G171" s="20">
        <f>E171/F171</f>
        <v/>
      </c>
      <c r="H171" s="24">
        <f>(E160-G171)^2+(E162-G171)^2</f>
        <v/>
      </c>
    </row>
    <row r="172" outlineLevel="1">
      <c r="B172" s="17" t="inlineStr">
        <is>
          <t>SSD</t>
        </is>
      </c>
      <c r="C172" s="18" t="inlineStr">
        <is>
          <t>512 ГБ</t>
        </is>
      </c>
      <c r="D172" s="18" t="inlineStr">
        <is>
          <t>B, D</t>
        </is>
      </c>
      <c r="E172" s="24">
        <f>E161+E163</f>
        <v/>
      </c>
      <c r="F172" s="26" t="n">
        <v>2</v>
      </c>
      <c r="G172" s="20">
        <f>E172/F172</f>
        <v/>
      </c>
      <c r="H172" s="24">
        <f>(E161-G172)^2+(E163-G172)^2</f>
        <v/>
      </c>
    </row>
    <row r="173" outlineLevel="1"/>
    <row r="174" outlineLevel="1">
      <c r="B174" s="13" t="inlineStr">
        <is>
          <t>C. Выбор колонки: наименьшая оставшаяся сумма квадратов   (Теория, раздел 5)</t>
        </is>
      </c>
    </row>
    <row r="175" outlineLevel="1" ht="44" customHeight="1">
      <c r="B175" s="21">
        <f>"Складываем ошибку, оставшуюся в двух группах каждой колонки, и берём минимум. Экран: "&amp;TEXT(H169,"0.##")&amp;" + "&amp;TEXT(H170,"0.##")&amp;" = "&amp;TEXT(C177,"0.##")&amp;";  SSD: "&amp;TEXT(H171,"0.##")&amp;" + "&amp;TEXT(H172,"0.##")&amp;" = "&amp;TEXT(C178,"0.##")&amp;".  Меньше у: "&amp;$E$177&amp;IF(MIN(C177:C178)&gt;0," (у соседки в "&amp;TEXT(MAX(C177:C178)/MIN(C177:C178),"0.00")&amp;" раза больше)","")&amp;". Значит h_5 строится по этой колонке, и каждому объекту достаётся γ его группы."</f>
        <v/>
      </c>
    </row>
    <row r="176" outlineLevel="1" ht="30" customHeight="1">
      <c r="B176" s="16" t="inlineStr">
        <is>
          <t>Колонка j</t>
        </is>
      </c>
      <c r="C176" s="16" t="inlineStr">
        <is>
          <t>Остаётся Σ(rᵢ − γ)² по обеим группам</t>
        </is>
      </c>
      <c r="D176" s="16" t="inlineStr">
        <is>
          <t>Во сколько раз больше минимума</t>
        </is>
      </c>
      <c r="E176" s="16" t="inlineStr">
        <is>
          <t>Выбор j* = argmin</t>
        </is>
      </c>
    </row>
    <row r="177" outlineLevel="1">
      <c r="B177" s="17" t="inlineStr">
        <is>
          <t>Экран</t>
        </is>
      </c>
      <c r="C177" s="24">
        <f>H169+H170</f>
        <v/>
      </c>
      <c r="D177" s="27">
        <f>IF(MIN(C177:C178)=0,"—",C177/MIN(C177:C178))</f>
        <v/>
      </c>
      <c r="E177" s="28">
        <f>IF(C177&lt;=C178,"экран","SSD")</f>
        <v/>
      </c>
    </row>
    <row r="178" outlineLevel="1">
      <c r="B178" s="17" t="inlineStr">
        <is>
          <t>SSD</t>
        </is>
      </c>
      <c r="C178" s="24">
        <f>H171+H172</f>
        <v/>
      </c>
      <c r="D178" s="27">
        <f>IF(MIN(C177:C178)=0,"—",C178/MIN(C177:C178))</f>
        <v/>
      </c>
      <c r="E178" s="18" t="n"/>
    </row>
    <row r="179" outlineLevel="1"/>
    <row r="180" outlineLevel="1">
      <c r="B180" s="13" t="inlineStr">
        <is>
          <t>D. Обновление модели: F_5(xᵢ) = F_4(xᵢ) + ν·h_5(xᵢ)   (Теория, раздел 6)</t>
        </is>
      </c>
    </row>
    <row r="181" outlineLevel="1" ht="62" customHeight="1">
      <c r="B181" s="21">
        <f>"Прибавляем не всю поправку, а долю ν = "&amp;TEXT($D$8,"0.00")&amp;". A: F_5(A) = "&amp;TEXT(C183,"0.##")&amp;" + "&amp;TEXT($D$8,"0.00")&amp;" × ("&amp;TEXT(D183,"0.##")&amp;") = "&amp;TEXT(F183,"0.##")&amp;", остаток "&amp;TEXT(G183,"0.##")&amp;" − "&amp;TEXT(F183,"0.##")&amp;" = "&amp;TEXT(H183,"0.##")&amp;";  D: F_5(D) = "&amp;TEXT(C186,"0.##")&amp;" + "&amp;TEXT($D$8,"0.00")&amp;" × ("&amp;TEXT(D186,"0.##")&amp;") = "&amp;TEXT(F186,"0.##")&amp;", остаток "&amp;TEXT(H186,"0.##")&amp;". "&amp;"Итог: Σ|rᵢ| = "&amp;TEXT(I187,"0.##")&amp;" (было "&amp;TEXT(F164,"0.##")&amp;"), Σrᵢ² = "&amp;TEXT(J187,"0.##")&amp;" (было "&amp;TEXT(G164,"0.##")&amp;"). Невыученная часть вклада колонки «"&amp;$E$177&amp;"» умножилась на (1 − ν) = "&amp;TEXT(1-$D$8,"0.00")&amp;": из "&amp;TEXT(MAX(ABS(D183),ABS(D184)),"0.##")&amp;" осталось "&amp;TEXT(MAX(ABS(D183),ABS(D184))*(1-$D$8),"0.##")&amp;"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182" outlineLevel="1" ht="30" customHeight="1">
      <c r="B182" s="16" t="inlineStr">
        <is>
          <t>Ноутбук</t>
        </is>
      </c>
      <c r="C182" s="16" t="inlineStr">
        <is>
          <t>F_{4}(xᵢ)</t>
        </is>
      </c>
      <c r="D182" s="16" t="inlineStr">
        <is>
          <t>h_5(xᵢ) — поправка выбранной колонки</t>
        </is>
      </c>
      <c r="E182" s="16" t="inlineStr">
        <is>
          <t>ν·h_5(xᵢ)</t>
        </is>
      </c>
      <c r="F182" s="16" t="inlineStr">
        <is>
          <t>F_5(xᵢ) = F_{4} + ν·h_5</t>
        </is>
      </c>
      <c r="G182" s="16" t="inlineStr">
        <is>
          <t>yᵢ</t>
        </is>
      </c>
      <c r="H182" s="16" t="inlineStr">
        <is>
          <t>Новый остаток yᵢ − F_5(xᵢ)</t>
        </is>
      </c>
      <c r="I182" s="16" t="inlineStr">
        <is>
          <t>|остаток|</t>
        </is>
      </c>
      <c r="J182" s="16" t="inlineStr">
        <is>
          <t>остаток²</t>
        </is>
      </c>
    </row>
    <row r="183" outlineLevel="1">
      <c r="B183" s="17" t="inlineStr">
        <is>
          <t>A</t>
        </is>
      </c>
      <c r="C183" s="24">
        <f>F149</f>
        <v/>
      </c>
      <c r="D183" s="24">
        <f>IF($E$177="экран",G169,G171)</f>
        <v/>
      </c>
      <c r="E183" s="24">
        <f>$D$8*D183</f>
        <v/>
      </c>
      <c r="F183" s="20">
        <f>C183+E183</f>
        <v/>
      </c>
      <c r="G183" s="25">
        <f>$E$11</f>
        <v/>
      </c>
      <c r="H183" s="20">
        <f>G183-F183</f>
        <v/>
      </c>
      <c r="I183" s="24">
        <f>ABS(H183)</f>
        <v/>
      </c>
      <c r="J183" s="24">
        <f>H183^2</f>
        <v/>
      </c>
    </row>
    <row r="184" outlineLevel="1">
      <c r="B184" s="17" t="inlineStr">
        <is>
          <t>B</t>
        </is>
      </c>
      <c r="C184" s="24">
        <f>F150</f>
        <v/>
      </c>
      <c r="D184" s="24">
        <f>IF($E$177="экран",G169,G172)</f>
        <v/>
      </c>
      <c r="E184" s="24">
        <f>$D$8*D184</f>
        <v/>
      </c>
      <c r="F184" s="20">
        <f>C184+E184</f>
        <v/>
      </c>
      <c r="G184" s="25">
        <f>$E$12</f>
        <v/>
      </c>
      <c r="H184" s="20">
        <f>G184-F184</f>
        <v/>
      </c>
      <c r="I184" s="24">
        <f>ABS(H184)</f>
        <v/>
      </c>
      <c r="J184" s="24">
        <f>H184^2</f>
        <v/>
      </c>
    </row>
    <row r="185" outlineLevel="1">
      <c r="B185" s="17" t="inlineStr">
        <is>
          <t>C</t>
        </is>
      </c>
      <c r="C185" s="24">
        <f>F151</f>
        <v/>
      </c>
      <c r="D185" s="24">
        <f>IF($E$177="экран",G170,G171)</f>
        <v/>
      </c>
      <c r="E185" s="24">
        <f>$D$8*D185</f>
        <v/>
      </c>
      <c r="F185" s="20">
        <f>C185+E185</f>
        <v/>
      </c>
      <c r="G185" s="25">
        <f>$E$13</f>
        <v/>
      </c>
      <c r="H185" s="20">
        <f>G185-F185</f>
        <v/>
      </c>
      <c r="I185" s="24">
        <f>ABS(H185)</f>
        <v/>
      </c>
      <c r="J185" s="24">
        <f>H185^2</f>
        <v/>
      </c>
    </row>
    <row r="186" outlineLevel="1">
      <c r="B186" s="17" t="inlineStr">
        <is>
          <t>D</t>
        </is>
      </c>
      <c r="C186" s="24">
        <f>F152</f>
        <v/>
      </c>
      <c r="D186" s="24">
        <f>IF($E$177="экран",G170,G172)</f>
        <v/>
      </c>
      <c r="E186" s="24">
        <f>$D$8*D186</f>
        <v/>
      </c>
      <c r="F186" s="20">
        <f>C186+E186</f>
        <v/>
      </c>
      <c r="G186" s="25">
        <f>$E$14</f>
        <v/>
      </c>
      <c r="H186" s="20">
        <f>G186-F186</f>
        <v/>
      </c>
      <c r="I186" s="24">
        <f>ABS(H186)</f>
        <v/>
      </c>
      <c r="J186" s="24">
        <f>H186^2</f>
        <v/>
      </c>
    </row>
    <row r="187" outlineLevel="1">
      <c r="B187" s="13" t="inlineStr">
        <is>
          <t>Итого после шага:  Σ|rᵢ|  и  Σrᵢ²</t>
        </is>
      </c>
      <c r="I187" s="20">
        <f>SUM(I183:I186)</f>
        <v/>
      </c>
      <c r="J187" s="20">
        <f>SUM(J183:J186)</f>
        <v/>
      </c>
    </row>
    <row r="189" ht="22" customHeight="1">
      <c r="B189" s="22" t="inlineStr">
        <is>
          <t>Шаг 6:  F_6 = F_5 + ν·h_6</t>
        </is>
      </c>
    </row>
    <row r="190" outlineLevel="1">
      <c r="B190" s="23">
        <f>"Выбрана колонка: "&amp;$E$211&amp;"   ·   Σ|rᵢ|: "&amp;TEXT(F198,"0.##")&amp;" → "&amp;TEXT(I221,"0.##")&amp;"   ·   Σrᵢ²: "&amp;TEXT(G198,"0.##")&amp;" → "&amp;TEXT(J221,"0.##")</f>
        <v/>
      </c>
    </row>
    <row r="191" outlineLevel="1">
      <c r="B191" s="13" t="inlineStr">
        <is>
          <t>A. Остатки текущей модели F_5   (Теория, раздел 3)</t>
        </is>
      </c>
    </row>
    <row r="192" outlineLevel="1" ht="46" customHeight="1">
      <c r="B192" s="21">
        <f>"Остаток — антиградиент квадратичной потери: rᵢ = yᵢ − F_5(xᵢ) = −∂L/∂F — «что модель ещё не выучила». Для A: "&amp;TEXT(D194,"0.##")&amp;" − "&amp;TEXT(C194,"0.##")&amp;" = "&amp;TEXT(E194,"0.##")&amp;"; для B: "&amp;TEXT(D195,"0.##")&amp;" − "&amp;TEXT(C195,"0.##")&amp;" = "&amp;TEXT(E195,"0.##")&amp;"; для C: "&amp;TEXT(D196,"0.##")&amp;" − "&amp;TEXT(C196,"0.##")&amp;" = "&amp;TEXT(E196,"0.##")&amp;"; для D: "&amp;TEXT(D197,"0.##")&amp;" − "&amp;TEXT(C197,"0.##")&amp;" = "&amp;TEXT(E197,"0.##")&amp;". Минус — завысили, плюс — занизили. Σ|rᵢ| = "&amp;TEXT(F198,"0.##")&amp;", Σrᵢ² = "&amp;TEXT(G198,"0.##")&amp;"."</f>
        <v/>
      </c>
    </row>
    <row r="193" outlineLevel="1" ht="30" customHeight="1">
      <c r="B193" s="16" t="inlineStr">
        <is>
          <t>Ноутбук</t>
        </is>
      </c>
      <c r="C193" s="16" t="inlineStr">
        <is>
          <t>Старое предсказание F_5(xᵢ)</t>
        </is>
      </c>
      <c r="D193" s="16" t="inlineStr">
        <is>
          <t>Реальная yᵢ</t>
        </is>
      </c>
      <c r="E193" s="16" t="inlineStr">
        <is>
          <t>Остаток rᵢ = yᵢ − F_5(xᵢ)</t>
        </is>
      </c>
      <c r="F193" s="16" t="inlineStr">
        <is>
          <t>|rᵢ|</t>
        </is>
      </c>
    </row>
    <row r="194" outlineLevel="1">
      <c r="B194" s="17" t="inlineStr">
        <is>
          <t>A</t>
        </is>
      </c>
      <c r="C194" s="24">
        <f>F183</f>
        <v/>
      </c>
      <c r="D194" s="25">
        <f>$E$11</f>
        <v/>
      </c>
      <c r="E194" s="20">
        <f>D194-C194</f>
        <v/>
      </c>
      <c r="F194" s="24">
        <f>ABS(E194)</f>
        <v/>
      </c>
    </row>
    <row r="195" outlineLevel="1">
      <c r="B195" s="17" t="inlineStr">
        <is>
          <t>B</t>
        </is>
      </c>
      <c r="C195" s="24">
        <f>F184</f>
        <v/>
      </c>
      <c r="D195" s="25">
        <f>$E$12</f>
        <v/>
      </c>
      <c r="E195" s="20">
        <f>D195-C195</f>
        <v/>
      </c>
      <c r="F195" s="24">
        <f>ABS(E195)</f>
        <v/>
      </c>
    </row>
    <row r="196" outlineLevel="1">
      <c r="B196" s="17" t="inlineStr">
        <is>
          <t>C</t>
        </is>
      </c>
      <c r="C196" s="24">
        <f>F185</f>
        <v/>
      </c>
      <c r="D196" s="25">
        <f>$E$13</f>
        <v/>
      </c>
      <c r="E196" s="20">
        <f>D196-C196</f>
        <v/>
      </c>
      <c r="F196" s="24">
        <f>ABS(E196)</f>
        <v/>
      </c>
    </row>
    <row r="197" outlineLevel="1">
      <c r="B197" s="17" t="inlineStr">
        <is>
          <t>D</t>
        </is>
      </c>
      <c r="C197" s="24">
        <f>F186</f>
        <v/>
      </c>
      <c r="D197" s="25">
        <f>$E$14</f>
        <v/>
      </c>
      <c r="E197" s="20">
        <f>D197-C197</f>
        <v/>
      </c>
      <c r="F197" s="24">
        <f>ABS(E197)</f>
        <v/>
      </c>
    </row>
    <row r="198" outlineLevel="1">
      <c r="B198" s="13" t="inlineStr">
        <is>
          <t>Σ|rᵢ|  и  Σrᵢ²</t>
        </is>
      </c>
      <c r="F198" s="20">
        <f>SUM(F194:F197)</f>
        <v/>
      </c>
      <c r="G198" s="20">
        <f>SUMSQ(E194:E197)</f>
        <v/>
      </c>
    </row>
    <row r="199" outlineLevel="1"/>
    <row r="200" outlineLevel="1">
      <c r="B200" s="13" t="inlineStr">
        <is>
          <t>B. Группировка по колонкам и поправки групп   (Теория, раздел 4)</t>
        </is>
      </c>
    </row>
    <row r="201" outlineLevel="1" ht="58" customHeight="1">
      <c r="B201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("&amp;TEXT(E194,"0.##")&amp;" + "&amp;TEXT(E195,"0.##")&amp;") / 2 = "&amp;TEXT(G203,"0.##")&amp;", остаётся "&amp;TEXT(H203,"0.##")&amp;";  экран 15″ {C, D}: γ = "&amp;TEXT(G204,"0.##")&amp;", остаётся "&amp;TEXT(H204,"0.##")&amp;";  SSD 256 {A, C}: γ = ("&amp;TEXT(E194,"0.##")&amp;" + "&amp;TEXT(E196,"0.##")&amp;") / 2 = "&amp;TEXT(G205,"0.##")&amp;", остаётся "&amp;TEXT(H205,"0.##")&amp;";  SSD 512 {B, D}: γ = "&amp;TEXT(G206,"0.##")&amp;", остаётся "&amp;TEXT(H206,"0.##")&amp;"."</f>
        <v/>
      </c>
    </row>
    <row r="202" outlineLevel="1" ht="30" customHeight="1">
      <c r="B202" s="16" t="inlineStr">
        <is>
          <t>Колонка</t>
        </is>
      </c>
      <c r="C202" s="16" t="inlineStr">
        <is>
          <t>Группа G</t>
        </is>
      </c>
      <c r="D202" s="16" t="inlineStr">
        <is>
          <t>Состав</t>
        </is>
      </c>
      <c r="E202" s="16" t="inlineStr">
        <is>
          <t>Σ остатков группы</t>
        </is>
      </c>
      <c r="F202" s="16" t="inlineStr">
        <is>
          <t>|G|</t>
        </is>
      </c>
      <c r="G202" s="16" t="inlineStr">
        <is>
          <t>Поправка γ_G = Σrᵢ / |G|</t>
        </is>
      </c>
      <c r="H202" s="16" t="inlineStr">
        <is>
          <t>Остаётся Σ(rᵢ − γ_G)²</t>
        </is>
      </c>
    </row>
    <row r="203" outlineLevel="1">
      <c r="B203" s="17" t="inlineStr">
        <is>
          <t>Экран</t>
        </is>
      </c>
      <c r="C203" s="18" t="inlineStr">
        <is>
          <t>13"</t>
        </is>
      </c>
      <c r="D203" s="18" t="inlineStr">
        <is>
          <t>A, B</t>
        </is>
      </c>
      <c r="E203" s="24">
        <f>E194+E195</f>
        <v/>
      </c>
      <c r="F203" s="26" t="n">
        <v>2</v>
      </c>
      <c r="G203" s="20">
        <f>E203/F203</f>
        <v/>
      </c>
      <c r="H203" s="24">
        <f>(E194-G203)^2+(E195-G203)^2</f>
        <v/>
      </c>
    </row>
    <row r="204" outlineLevel="1">
      <c r="B204" s="17" t="inlineStr">
        <is>
          <t>Экран</t>
        </is>
      </c>
      <c r="C204" s="18" t="inlineStr">
        <is>
          <t>15"</t>
        </is>
      </c>
      <c r="D204" s="18" t="inlineStr">
        <is>
          <t>C, D</t>
        </is>
      </c>
      <c r="E204" s="24">
        <f>E196+E197</f>
        <v/>
      </c>
      <c r="F204" s="26" t="n">
        <v>2</v>
      </c>
      <c r="G204" s="20">
        <f>E204/F204</f>
        <v/>
      </c>
      <c r="H204" s="24">
        <f>(E196-G204)^2+(E197-G204)^2</f>
        <v/>
      </c>
    </row>
    <row r="205" outlineLevel="1">
      <c r="B205" s="17" t="inlineStr">
        <is>
          <t>SSD</t>
        </is>
      </c>
      <c r="C205" s="18" t="inlineStr">
        <is>
          <t>256 ГБ</t>
        </is>
      </c>
      <c r="D205" s="18" t="inlineStr">
        <is>
          <t>A, C</t>
        </is>
      </c>
      <c r="E205" s="24">
        <f>E194+E196</f>
        <v/>
      </c>
      <c r="F205" s="26" t="n">
        <v>2</v>
      </c>
      <c r="G205" s="20">
        <f>E205/F205</f>
        <v/>
      </c>
      <c r="H205" s="24">
        <f>(E194-G205)^2+(E196-G205)^2</f>
        <v/>
      </c>
    </row>
    <row r="206" outlineLevel="1">
      <c r="B206" s="17" t="inlineStr">
        <is>
          <t>SSD</t>
        </is>
      </c>
      <c r="C206" s="18" t="inlineStr">
        <is>
          <t>512 ГБ</t>
        </is>
      </c>
      <c r="D206" s="18" t="inlineStr">
        <is>
          <t>B, D</t>
        </is>
      </c>
      <c r="E206" s="24">
        <f>E195+E197</f>
        <v/>
      </c>
      <c r="F206" s="26" t="n">
        <v>2</v>
      </c>
      <c r="G206" s="20">
        <f>E206/F206</f>
        <v/>
      </c>
      <c r="H206" s="24">
        <f>(E195-G206)^2+(E197-G206)^2</f>
        <v/>
      </c>
    </row>
    <row r="207" outlineLevel="1"/>
    <row r="208" outlineLevel="1">
      <c r="B208" s="13" t="inlineStr">
        <is>
          <t>C. Выбор колонки: наименьшая оставшаяся сумма квадратов   (Теория, раздел 5)</t>
        </is>
      </c>
    </row>
    <row r="209" outlineLevel="1" ht="44" customHeight="1">
      <c r="B209" s="21">
        <f>"Складываем ошибку, оставшуюся в двух группах каждой колонки, и берём минимум. Экран: "&amp;TEXT(H203,"0.##")&amp;" + "&amp;TEXT(H204,"0.##")&amp;" = "&amp;TEXT(C211,"0.##")&amp;";  SSD: "&amp;TEXT(H205,"0.##")&amp;" + "&amp;TEXT(H206,"0.##")&amp;" = "&amp;TEXT(C212,"0.##")&amp;".  Меньше у: "&amp;$E$211&amp;IF(MIN(C211:C212)&gt;0," (у соседки в "&amp;TEXT(MAX(C211:C212)/MIN(C211:C212),"0.00")&amp;" раза больше)","")&amp;". Значит h_6 строится по этой колонке, и каждому объекту достаётся γ его группы."</f>
        <v/>
      </c>
    </row>
    <row r="210" outlineLevel="1" ht="30" customHeight="1">
      <c r="B210" s="16" t="inlineStr">
        <is>
          <t>Колонка j</t>
        </is>
      </c>
      <c r="C210" s="16" t="inlineStr">
        <is>
          <t>Остаётся Σ(rᵢ − γ)² по обеим группам</t>
        </is>
      </c>
      <c r="D210" s="16" t="inlineStr">
        <is>
          <t>Во сколько раз больше минимума</t>
        </is>
      </c>
      <c r="E210" s="16" t="inlineStr">
        <is>
          <t>Выбор j* = argmin</t>
        </is>
      </c>
    </row>
    <row r="211" outlineLevel="1">
      <c r="B211" s="17" t="inlineStr">
        <is>
          <t>Экран</t>
        </is>
      </c>
      <c r="C211" s="24">
        <f>H203+H204</f>
        <v/>
      </c>
      <c r="D211" s="27">
        <f>IF(MIN(C211:C212)=0,"—",C211/MIN(C211:C212))</f>
        <v/>
      </c>
      <c r="E211" s="28">
        <f>IF(C211&lt;=C212,"экран","SSD")</f>
        <v/>
      </c>
    </row>
    <row r="212" outlineLevel="1">
      <c r="B212" s="17" t="inlineStr">
        <is>
          <t>SSD</t>
        </is>
      </c>
      <c r="C212" s="24">
        <f>H205+H206</f>
        <v/>
      </c>
      <c r="D212" s="27">
        <f>IF(MIN(C211:C212)=0,"—",C212/MIN(C211:C212))</f>
        <v/>
      </c>
      <c r="E212" s="18" t="n"/>
    </row>
    <row r="213" outlineLevel="1"/>
    <row r="214" outlineLevel="1">
      <c r="B214" s="13" t="inlineStr">
        <is>
          <t>D. Обновление модели: F_6(xᵢ) = F_5(xᵢ) + ν·h_6(xᵢ)   (Теория, раздел 6)</t>
        </is>
      </c>
    </row>
    <row r="215" outlineLevel="1" ht="62" customHeight="1">
      <c r="B215" s="21">
        <f>"Прибавляем не всю поправку, а долю ν = "&amp;TEXT($D$8,"0.00")&amp;". A: F_6(A) = "&amp;TEXT(C217,"0.##")&amp;" + "&amp;TEXT($D$8,"0.00")&amp;" × ("&amp;TEXT(D217,"0.##")&amp;") = "&amp;TEXT(F217,"0.##")&amp;", остаток "&amp;TEXT(G217,"0.##")&amp;" − "&amp;TEXT(F217,"0.##")&amp;" = "&amp;TEXT(H217,"0.##")&amp;";  D: F_6(D) = "&amp;TEXT(C220,"0.##")&amp;" + "&amp;TEXT($D$8,"0.00")&amp;" × ("&amp;TEXT(D220,"0.##")&amp;") = "&amp;TEXT(F220,"0.##")&amp;", остаток "&amp;TEXT(H220,"0.##")&amp;". "&amp;"Итог: Σ|rᵢ| = "&amp;TEXT(I221,"0.##")&amp;" (было "&amp;TEXT(F198,"0.##")&amp;"), Σrᵢ² = "&amp;TEXT(J221,"0.##")&amp;" (было "&amp;TEXT(G198,"0.##")&amp;"). Невыученная часть вклада колонки «"&amp;$E$211&amp;"» умножилась на (1 − ν) = "&amp;TEXT(1-$D$8,"0.00")&amp;": из "&amp;TEXT(MAX(ABS(D217),ABS(D218)),"0.##")&amp;" осталось "&amp;TEXT(MAX(ABS(D217),ABS(D218))*(1-$D$8),"0.##")&amp;"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216" outlineLevel="1" ht="30" customHeight="1">
      <c r="B216" s="16" t="inlineStr">
        <is>
          <t>Ноутбук</t>
        </is>
      </c>
      <c r="C216" s="16" t="inlineStr">
        <is>
          <t>F_{5}(xᵢ)</t>
        </is>
      </c>
      <c r="D216" s="16" t="inlineStr">
        <is>
          <t>h_6(xᵢ) — поправка выбранной колонки</t>
        </is>
      </c>
      <c r="E216" s="16" t="inlineStr">
        <is>
          <t>ν·h_6(xᵢ)</t>
        </is>
      </c>
      <c r="F216" s="16" t="inlineStr">
        <is>
          <t>F_6(xᵢ) = F_{5} + ν·h_6</t>
        </is>
      </c>
      <c r="G216" s="16" t="inlineStr">
        <is>
          <t>yᵢ</t>
        </is>
      </c>
      <c r="H216" s="16" t="inlineStr">
        <is>
          <t>Новый остаток yᵢ − F_6(xᵢ)</t>
        </is>
      </c>
      <c r="I216" s="16" t="inlineStr">
        <is>
          <t>|остаток|</t>
        </is>
      </c>
      <c r="J216" s="16" t="inlineStr">
        <is>
          <t>остаток²</t>
        </is>
      </c>
    </row>
    <row r="217" outlineLevel="1">
      <c r="B217" s="17" t="inlineStr">
        <is>
          <t>A</t>
        </is>
      </c>
      <c r="C217" s="24">
        <f>F183</f>
        <v/>
      </c>
      <c r="D217" s="24">
        <f>IF($E$211="экран",G203,G205)</f>
        <v/>
      </c>
      <c r="E217" s="24">
        <f>$D$8*D217</f>
        <v/>
      </c>
      <c r="F217" s="20">
        <f>C217+E217</f>
        <v/>
      </c>
      <c r="G217" s="25">
        <f>$E$11</f>
        <v/>
      </c>
      <c r="H217" s="20">
        <f>G217-F217</f>
        <v/>
      </c>
      <c r="I217" s="24">
        <f>ABS(H217)</f>
        <v/>
      </c>
      <c r="J217" s="24">
        <f>H217^2</f>
        <v/>
      </c>
    </row>
    <row r="218" outlineLevel="1">
      <c r="B218" s="17" t="inlineStr">
        <is>
          <t>B</t>
        </is>
      </c>
      <c r="C218" s="24">
        <f>F184</f>
        <v/>
      </c>
      <c r="D218" s="24">
        <f>IF($E$211="экран",G203,G206)</f>
        <v/>
      </c>
      <c r="E218" s="24">
        <f>$D$8*D218</f>
        <v/>
      </c>
      <c r="F218" s="20">
        <f>C218+E218</f>
        <v/>
      </c>
      <c r="G218" s="25">
        <f>$E$12</f>
        <v/>
      </c>
      <c r="H218" s="20">
        <f>G218-F218</f>
        <v/>
      </c>
      <c r="I218" s="24">
        <f>ABS(H218)</f>
        <v/>
      </c>
      <c r="J218" s="24">
        <f>H218^2</f>
        <v/>
      </c>
    </row>
    <row r="219" outlineLevel="1">
      <c r="B219" s="17" t="inlineStr">
        <is>
          <t>C</t>
        </is>
      </c>
      <c r="C219" s="24">
        <f>F185</f>
        <v/>
      </c>
      <c r="D219" s="24">
        <f>IF($E$211="экран",G204,G205)</f>
        <v/>
      </c>
      <c r="E219" s="24">
        <f>$D$8*D219</f>
        <v/>
      </c>
      <c r="F219" s="20">
        <f>C219+E219</f>
        <v/>
      </c>
      <c r="G219" s="25">
        <f>$E$13</f>
        <v/>
      </c>
      <c r="H219" s="20">
        <f>G219-F219</f>
        <v/>
      </c>
      <c r="I219" s="24">
        <f>ABS(H219)</f>
        <v/>
      </c>
      <c r="J219" s="24">
        <f>H219^2</f>
        <v/>
      </c>
    </row>
    <row r="220" outlineLevel="1">
      <c r="B220" s="17" t="inlineStr">
        <is>
          <t>D</t>
        </is>
      </c>
      <c r="C220" s="24">
        <f>F186</f>
        <v/>
      </c>
      <c r="D220" s="24">
        <f>IF($E$211="экран",G204,G206)</f>
        <v/>
      </c>
      <c r="E220" s="24">
        <f>$D$8*D220</f>
        <v/>
      </c>
      <c r="F220" s="20">
        <f>C220+E220</f>
        <v/>
      </c>
      <c r="G220" s="25">
        <f>$E$14</f>
        <v/>
      </c>
      <c r="H220" s="20">
        <f>G220-F220</f>
        <v/>
      </c>
      <c r="I220" s="24">
        <f>ABS(H220)</f>
        <v/>
      </c>
      <c r="J220" s="24">
        <f>H220^2</f>
        <v/>
      </c>
    </row>
    <row r="221" outlineLevel="1">
      <c r="B221" s="13" t="inlineStr">
        <is>
          <t>Итого после шага:  Σ|rᵢ|  и  Σrᵢ²</t>
        </is>
      </c>
      <c r="I221" s="20">
        <f>SUM(I217:I220)</f>
        <v/>
      </c>
      <c r="J221" s="20">
        <f>SUM(J217:J220)</f>
        <v/>
      </c>
    </row>
    <row r="223" ht="22" customHeight="1">
      <c r="B223" s="22" t="inlineStr">
        <is>
          <t>Шаг 7:  F_7 = F_6 + ν·h_7</t>
        </is>
      </c>
    </row>
    <row r="224" outlineLevel="1">
      <c r="B224" s="23">
        <f>"Выбрана колонка: "&amp;$E$245&amp;"   ·   Σ|rᵢ|: "&amp;TEXT(F232,"0.##")&amp;" → "&amp;TEXT(I255,"0.##")&amp;"   ·   Σrᵢ²: "&amp;TEXT(G232,"0.##")&amp;" → "&amp;TEXT(J255,"0.##")</f>
        <v/>
      </c>
    </row>
    <row r="225" outlineLevel="1">
      <c r="B225" s="13" t="inlineStr">
        <is>
          <t>A. Остатки текущей модели F_6   (Теория, раздел 3)</t>
        </is>
      </c>
    </row>
    <row r="226" outlineLevel="1" ht="46" customHeight="1">
      <c r="B226" s="21">
        <f>"Остаток — антиградиент квадратичной потери: rᵢ = yᵢ − F_6(xᵢ) = −∂L/∂F — «что модель ещё не выучила». Для A: "&amp;TEXT(D228,"0.##")&amp;" − "&amp;TEXT(C228,"0.##")&amp;" = "&amp;TEXT(E228,"0.##")&amp;"; для B: "&amp;TEXT(D229,"0.##")&amp;" − "&amp;TEXT(C229,"0.##")&amp;" = "&amp;TEXT(E229,"0.##")&amp;"; для C: "&amp;TEXT(D230,"0.##")&amp;" − "&amp;TEXT(C230,"0.##")&amp;" = "&amp;TEXT(E230,"0.##")&amp;"; для D: "&amp;TEXT(D231,"0.##")&amp;" − "&amp;TEXT(C231,"0.##")&amp;" = "&amp;TEXT(E231,"0.##")&amp;". Минус — завысили, плюс — занизили. Σ|rᵢ| = "&amp;TEXT(F232,"0.##")&amp;", Σrᵢ² = "&amp;TEXT(G232,"0.##")&amp;"."</f>
        <v/>
      </c>
    </row>
    <row r="227" outlineLevel="1" ht="30" customHeight="1">
      <c r="B227" s="16" t="inlineStr">
        <is>
          <t>Ноутбук</t>
        </is>
      </c>
      <c r="C227" s="16" t="inlineStr">
        <is>
          <t>Старое предсказание F_6(xᵢ)</t>
        </is>
      </c>
      <c r="D227" s="16" t="inlineStr">
        <is>
          <t>Реальная yᵢ</t>
        </is>
      </c>
      <c r="E227" s="16" t="inlineStr">
        <is>
          <t>Остаток rᵢ = yᵢ − F_6(xᵢ)</t>
        </is>
      </c>
      <c r="F227" s="16" t="inlineStr">
        <is>
          <t>|rᵢ|</t>
        </is>
      </c>
    </row>
    <row r="228" outlineLevel="1">
      <c r="B228" s="17" t="inlineStr">
        <is>
          <t>A</t>
        </is>
      </c>
      <c r="C228" s="24">
        <f>F217</f>
        <v/>
      </c>
      <c r="D228" s="25">
        <f>$E$11</f>
        <v/>
      </c>
      <c r="E228" s="20">
        <f>D228-C228</f>
        <v/>
      </c>
      <c r="F228" s="24">
        <f>ABS(E228)</f>
        <v/>
      </c>
    </row>
    <row r="229" outlineLevel="1">
      <c r="B229" s="17" t="inlineStr">
        <is>
          <t>B</t>
        </is>
      </c>
      <c r="C229" s="24">
        <f>F218</f>
        <v/>
      </c>
      <c r="D229" s="25">
        <f>$E$12</f>
        <v/>
      </c>
      <c r="E229" s="20">
        <f>D229-C229</f>
        <v/>
      </c>
      <c r="F229" s="24">
        <f>ABS(E229)</f>
        <v/>
      </c>
    </row>
    <row r="230" outlineLevel="1">
      <c r="B230" s="17" t="inlineStr">
        <is>
          <t>C</t>
        </is>
      </c>
      <c r="C230" s="24">
        <f>F219</f>
        <v/>
      </c>
      <c r="D230" s="25">
        <f>$E$13</f>
        <v/>
      </c>
      <c r="E230" s="20">
        <f>D230-C230</f>
        <v/>
      </c>
      <c r="F230" s="24">
        <f>ABS(E230)</f>
        <v/>
      </c>
    </row>
    <row r="231" outlineLevel="1">
      <c r="B231" s="17" t="inlineStr">
        <is>
          <t>D</t>
        </is>
      </c>
      <c r="C231" s="24">
        <f>F220</f>
        <v/>
      </c>
      <c r="D231" s="25">
        <f>$E$14</f>
        <v/>
      </c>
      <c r="E231" s="20">
        <f>D231-C231</f>
        <v/>
      </c>
      <c r="F231" s="24">
        <f>ABS(E231)</f>
        <v/>
      </c>
    </row>
    <row r="232" outlineLevel="1">
      <c r="B232" s="13" t="inlineStr">
        <is>
          <t>Σ|rᵢ|  и  Σrᵢ²</t>
        </is>
      </c>
      <c r="F232" s="20">
        <f>SUM(F228:F231)</f>
        <v/>
      </c>
      <c r="G232" s="20">
        <f>SUMSQ(E228:E231)</f>
        <v/>
      </c>
    </row>
    <row r="233" outlineLevel="1"/>
    <row r="234" outlineLevel="1">
      <c r="B234" s="13" t="inlineStr">
        <is>
          <t>B. Группировка по колонкам и поправки групп   (Теория, раздел 4)</t>
        </is>
      </c>
    </row>
    <row r="235" outlineLevel="1" ht="58" customHeight="1">
      <c r="B235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("&amp;TEXT(E228,"0.##")&amp;" + "&amp;TEXT(E229,"0.##")&amp;") / 2 = "&amp;TEXT(G237,"0.##")&amp;", остаётся "&amp;TEXT(H237,"0.##")&amp;";  экран 15″ {C, D}: γ = "&amp;TEXT(G238,"0.##")&amp;", остаётся "&amp;TEXT(H238,"0.##")&amp;";  SSD 256 {A, C}: γ = ("&amp;TEXT(E228,"0.##")&amp;" + "&amp;TEXT(E230,"0.##")&amp;") / 2 = "&amp;TEXT(G239,"0.##")&amp;", остаётся "&amp;TEXT(H239,"0.##")&amp;";  SSD 512 {B, D}: γ = "&amp;TEXT(G240,"0.##")&amp;", остаётся "&amp;TEXT(H240,"0.##")&amp;"."</f>
        <v/>
      </c>
    </row>
    <row r="236" outlineLevel="1" ht="30" customHeight="1">
      <c r="B236" s="16" t="inlineStr">
        <is>
          <t>Колонка</t>
        </is>
      </c>
      <c r="C236" s="16" t="inlineStr">
        <is>
          <t>Группа G</t>
        </is>
      </c>
      <c r="D236" s="16" t="inlineStr">
        <is>
          <t>Состав</t>
        </is>
      </c>
      <c r="E236" s="16" t="inlineStr">
        <is>
          <t>Σ остатков группы</t>
        </is>
      </c>
      <c r="F236" s="16" t="inlineStr">
        <is>
          <t>|G|</t>
        </is>
      </c>
      <c r="G236" s="16" t="inlineStr">
        <is>
          <t>Поправка γ_G = Σrᵢ / |G|</t>
        </is>
      </c>
      <c r="H236" s="16" t="inlineStr">
        <is>
          <t>Остаётся Σ(rᵢ − γ_G)²</t>
        </is>
      </c>
    </row>
    <row r="237" outlineLevel="1">
      <c r="B237" s="17" t="inlineStr">
        <is>
          <t>Экран</t>
        </is>
      </c>
      <c r="C237" s="18" t="inlineStr">
        <is>
          <t>13"</t>
        </is>
      </c>
      <c r="D237" s="18" t="inlineStr">
        <is>
          <t>A, B</t>
        </is>
      </c>
      <c r="E237" s="24">
        <f>E228+E229</f>
        <v/>
      </c>
      <c r="F237" s="26" t="n">
        <v>2</v>
      </c>
      <c r="G237" s="20">
        <f>E237/F237</f>
        <v/>
      </c>
      <c r="H237" s="24">
        <f>(E228-G237)^2+(E229-G237)^2</f>
        <v/>
      </c>
    </row>
    <row r="238" outlineLevel="1">
      <c r="B238" s="17" t="inlineStr">
        <is>
          <t>Экран</t>
        </is>
      </c>
      <c r="C238" s="18" t="inlineStr">
        <is>
          <t>15"</t>
        </is>
      </c>
      <c r="D238" s="18" t="inlineStr">
        <is>
          <t>C, D</t>
        </is>
      </c>
      <c r="E238" s="24">
        <f>E230+E231</f>
        <v/>
      </c>
      <c r="F238" s="26" t="n">
        <v>2</v>
      </c>
      <c r="G238" s="20">
        <f>E238/F238</f>
        <v/>
      </c>
      <c r="H238" s="24">
        <f>(E230-G238)^2+(E231-G238)^2</f>
        <v/>
      </c>
    </row>
    <row r="239" outlineLevel="1">
      <c r="B239" s="17" t="inlineStr">
        <is>
          <t>SSD</t>
        </is>
      </c>
      <c r="C239" s="18" t="inlineStr">
        <is>
          <t>256 ГБ</t>
        </is>
      </c>
      <c r="D239" s="18" t="inlineStr">
        <is>
          <t>A, C</t>
        </is>
      </c>
      <c r="E239" s="24">
        <f>E228+E230</f>
        <v/>
      </c>
      <c r="F239" s="26" t="n">
        <v>2</v>
      </c>
      <c r="G239" s="20">
        <f>E239/F239</f>
        <v/>
      </c>
      <c r="H239" s="24">
        <f>(E228-G239)^2+(E230-G239)^2</f>
        <v/>
      </c>
    </row>
    <row r="240" outlineLevel="1">
      <c r="B240" s="17" t="inlineStr">
        <is>
          <t>SSD</t>
        </is>
      </c>
      <c r="C240" s="18" t="inlineStr">
        <is>
          <t>512 ГБ</t>
        </is>
      </c>
      <c r="D240" s="18" t="inlineStr">
        <is>
          <t>B, D</t>
        </is>
      </c>
      <c r="E240" s="24">
        <f>E229+E231</f>
        <v/>
      </c>
      <c r="F240" s="26" t="n">
        <v>2</v>
      </c>
      <c r="G240" s="20">
        <f>E240/F240</f>
        <v/>
      </c>
      <c r="H240" s="24">
        <f>(E229-G240)^2+(E231-G240)^2</f>
        <v/>
      </c>
    </row>
    <row r="241" outlineLevel="1"/>
    <row r="242" outlineLevel="1">
      <c r="B242" s="13" t="inlineStr">
        <is>
          <t>C. Выбор колонки: наименьшая оставшаяся сумма квадратов   (Теория, раздел 5)</t>
        </is>
      </c>
    </row>
    <row r="243" outlineLevel="1" ht="44" customHeight="1">
      <c r="B243" s="21">
        <f>"Складываем ошибку, оставшуюся в двух группах каждой колонки, и берём минимум. Экран: "&amp;TEXT(H237,"0.##")&amp;" + "&amp;TEXT(H238,"0.##")&amp;" = "&amp;TEXT(C245,"0.##")&amp;";  SSD: "&amp;TEXT(H239,"0.##")&amp;" + "&amp;TEXT(H240,"0.##")&amp;" = "&amp;TEXT(C246,"0.##")&amp;".  Меньше у: "&amp;$E$245&amp;IF(MIN(C245:C246)&gt;0," (у соседки в "&amp;TEXT(MAX(C245:C246)/MIN(C245:C246),"0.00")&amp;" раза больше)","")&amp;". Значит h_7 строится по этой колонке, и каждому объекту достаётся γ его группы."</f>
        <v/>
      </c>
    </row>
    <row r="244" outlineLevel="1" ht="30" customHeight="1">
      <c r="B244" s="16" t="inlineStr">
        <is>
          <t>Колонка j</t>
        </is>
      </c>
      <c r="C244" s="16" t="inlineStr">
        <is>
          <t>Остаётся Σ(rᵢ − γ)² по обеим группам</t>
        </is>
      </c>
      <c r="D244" s="16" t="inlineStr">
        <is>
          <t>Во сколько раз больше минимума</t>
        </is>
      </c>
      <c r="E244" s="16" t="inlineStr">
        <is>
          <t>Выбор j* = argmin</t>
        </is>
      </c>
    </row>
    <row r="245" outlineLevel="1">
      <c r="B245" s="17" t="inlineStr">
        <is>
          <t>Экран</t>
        </is>
      </c>
      <c r="C245" s="24">
        <f>H237+H238</f>
        <v/>
      </c>
      <c r="D245" s="27">
        <f>IF(MIN(C245:C246)=0,"—",C245/MIN(C245:C246))</f>
        <v/>
      </c>
      <c r="E245" s="28">
        <f>IF(C245&lt;=C246,"экран","SSD")</f>
        <v/>
      </c>
    </row>
    <row r="246" outlineLevel="1">
      <c r="B246" s="17" t="inlineStr">
        <is>
          <t>SSD</t>
        </is>
      </c>
      <c r="C246" s="24">
        <f>H239+H240</f>
        <v/>
      </c>
      <c r="D246" s="27">
        <f>IF(MIN(C245:C246)=0,"—",C246/MIN(C245:C246))</f>
        <v/>
      </c>
      <c r="E246" s="18" t="n"/>
    </row>
    <row r="247" outlineLevel="1"/>
    <row r="248" outlineLevel="1">
      <c r="B248" s="13" t="inlineStr">
        <is>
          <t>D. Обновление модели: F_7(xᵢ) = F_6(xᵢ) + ν·h_7(xᵢ)   (Теория, раздел 6)</t>
        </is>
      </c>
    </row>
    <row r="249" outlineLevel="1" ht="62" customHeight="1">
      <c r="B249" s="21">
        <f>"Прибавляем не всю поправку, а долю ν = "&amp;TEXT($D$8,"0.00")&amp;". A: F_7(A) = "&amp;TEXT(C251,"0.##")&amp;" + "&amp;TEXT($D$8,"0.00")&amp;" × ("&amp;TEXT(D251,"0.##")&amp;") = "&amp;TEXT(F251,"0.##")&amp;", остаток "&amp;TEXT(G251,"0.##")&amp;" − "&amp;TEXT(F251,"0.##")&amp;" = "&amp;TEXT(H251,"0.##")&amp;";  D: F_7(D) = "&amp;TEXT(C254,"0.##")&amp;" + "&amp;TEXT($D$8,"0.00")&amp;" × ("&amp;TEXT(D254,"0.##")&amp;") = "&amp;TEXT(F254,"0.##")&amp;", остаток "&amp;TEXT(H254,"0.##")&amp;". "&amp;"Итог: Σ|rᵢ| = "&amp;TEXT(I255,"0.##")&amp;" (было "&amp;TEXT(F232,"0.##")&amp;"), Σrᵢ² = "&amp;TEXT(J255,"0.##")&amp;" (было "&amp;TEXT(G232,"0.##")&amp;"). Невыученная часть вклада колонки «"&amp;$E$245&amp;"» умножилась на (1 − ν) = "&amp;TEXT(1-$D$8,"0.00")&amp;": из "&amp;TEXT(MAX(ABS(D251),ABS(D252)),"0.##")&amp;" осталось "&amp;TEXT(MAX(ABS(D251),ABS(D252))*(1-$D$8),"0.##")&amp;"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250" outlineLevel="1" ht="30" customHeight="1">
      <c r="B250" s="16" t="inlineStr">
        <is>
          <t>Ноутбук</t>
        </is>
      </c>
      <c r="C250" s="16" t="inlineStr">
        <is>
          <t>F_{6}(xᵢ)</t>
        </is>
      </c>
      <c r="D250" s="16" t="inlineStr">
        <is>
          <t>h_7(xᵢ) — поправка выбранной колонки</t>
        </is>
      </c>
      <c r="E250" s="16" t="inlineStr">
        <is>
          <t>ν·h_7(xᵢ)</t>
        </is>
      </c>
      <c r="F250" s="16" t="inlineStr">
        <is>
          <t>F_7(xᵢ) = F_{6} + ν·h_7</t>
        </is>
      </c>
      <c r="G250" s="16" t="inlineStr">
        <is>
          <t>yᵢ</t>
        </is>
      </c>
      <c r="H250" s="16" t="inlineStr">
        <is>
          <t>Новый остаток yᵢ − F_7(xᵢ)</t>
        </is>
      </c>
      <c r="I250" s="16" t="inlineStr">
        <is>
          <t>|остаток|</t>
        </is>
      </c>
      <c r="J250" s="16" t="inlineStr">
        <is>
          <t>остаток²</t>
        </is>
      </c>
    </row>
    <row r="251" outlineLevel="1">
      <c r="B251" s="17" t="inlineStr">
        <is>
          <t>A</t>
        </is>
      </c>
      <c r="C251" s="24">
        <f>F217</f>
        <v/>
      </c>
      <c r="D251" s="24">
        <f>IF($E$245="экран",G237,G239)</f>
        <v/>
      </c>
      <c r="E251" s="24">
        <f>$D$8*D251</f>
        <v/>
      </c>
      <c r="F251" s="20">
        <f>C251+E251</f>
        <v/>
      </c>
      <c r="G251" s="25">
        <f>$E$11</f>
        <v/>
      </c>
      <c r="H251" s="20">
        <f>G251-F251</f>
        <v/>
      </c>
      <c r="I251" s="24">
        <f>ABS(H251)</f>
        <v/>
      </c>
      <c r="J251" s="24">
        <f>H251^2</f>
        <v/>
      </c>
    </row>
    <row r="252" outlineLevel="1">
      <c r="B252" s="17" t="inlineStr">
        <is>
          <t>B</t>
        </is>
      </c>
      <c r="C252" s="24">
        <f>F218</f>
        <v/>
      </c>
      <c r="D252" s="24">
        <f>IF($E$245="экран",G237,G240)</f>
        <v/>
      </c>
      <c r="E252" s="24">
        <f>$D$8*D252</f>
        <v/>
      </c>
      <c r="F252" s="20">
        <f>C252+E252</f>
        <v/>
      </c>
      <c r="G252" s="25">
        <f>$E$12</f>
        <v/>
      </c>
      <c r="H252" s="20">
        <f>G252-F252</f>
        <v/>
      </c>
      <c r="I252" s="24">
        <f>ABS(H252)</f>
        <v/>
      </c>
      <c r="J252" s="24">
        <f>H252^2</f>
        <v/>
      </c>
    </row>
    <row r="253" outlineLevel="1">
      <c r="B253" s="17" t="inlineStr">
        <is>
          <t>C</t>
        </is>
      </c>
      <c r="C253" s="24">
        <f>F219</f>
        <v/>
      </c>
      <c r="D253" s="24">
        <f>IF($E$245="экран",G238,G239)</f>
        <v/>
      </c>
      <c r="E253" s="24">
        <f>$D$8*D253</f>
        <v/>
      </c>
      <c r="F253" s="20">
        <f>C253+E253</f>
        <v/>
      </c>
      <c r="G253" s="25">
        <f>$E$13</f>
        <v/>
      </c>
      <c r="H253" s="20">
        <f>G253-F253</f>
        <v/>
      </c>
      <c r="I253" s="24">
        <f>ABS(H253)</f>
        <v/>
      </c>
      <c r="J253" s="24">
        <f>H253^2</f>
        <v/>
      </c>
    </row>
    <row r="254" outlineLevel="1">
      <c r="B254" s="17" t="inlineStr">
        <is>
          <t>D</t>
        </is>
      </c>
      <c r="C254" s="24">
        <f>F220</f>
        <v/>
      </c>
      <c r="D254" s="24">
        <f>IF($E$245="экран",G238,G240)</f>
        <v/>
      </c>
      <c r="E254" s="24">
        <f>$D$8*D254</f>
        <v/>
      </c>
      <c r="F254" s="20">
        <f>C254+E254</f>
        <v/>
      </c>
      <c r="G254" s="25">
        <f>$E$14</f>
        <v/>
      </c>
      <c r="H254" s="20">
        <f>G254-F254</f>
        <v/>
      </c>
      <c r="I254" s="24">
        <f>ABS(H254)</f>
        <v/>
      </c>
      <c r="J254" s="24">
        <f>H254^2</f>
        <v/>
      </c>
    </row>
    <row r="255" outlineLevel="1">
      <c r="B255" s="13" t="inlineStr">
        <is>
          <t>Итого после шага:  Σ|rᵢ|  и  Σrᵢ²</t>
        </is>
      </c>
      <c r="I255" s="20">
        <f>SUM(I251:I254)</f>
        <v/>
      </c>
      <c r="J255" s="20">
        <f>SUM(J251:J254)</f>
        <v/>
      </c>
    </row>
    <row r="257" ht="22" customHeight="1">
      <c r="B257" s="22" t="inlineStr">
        <is>
          <t>Шаг 8:  F_8 = F_7 + ν·h_8</t>
        </is>
      </c>
    </row>
    <row r="258" outlineLevel="1">
      <c r="B258" s="23">
        <f>"Выбрана колонка: "&amp;$E$279&amp;"   ·   Σ|rᵢ|: "&amp;TEXT(F266,"0.##")&amp;" → "&amp;TEXT(I289,"0.##")&amp;"   ·   Σrᵢ²: "&amp;TEXT(G266,"0.##")&amp;" → "&amp;TEXT(J289,"0.##")</f>
        <v/>
      </c>
    </row>
    <row r="259" outlineLevel="1">
      <c r="B259" s="13" t="inlineStr">
        <is>
          <t>A. Остатки текущей модели F_7   (Теория, раздел 3)</t>
        </is>
      </c>
    </row>
    <row r="260" outlineLevel="1" ht="46" customHeight="1">
      <c r="B260" s="21">
        <f>"Остаток — антиградиент квадратичной потери: rᵢ = yᵢ − F_7(xᵢ) = −∂L/∂F — «что модель ещё не выучила». Для A: "&amp;TEXT(D262,"0.##")&amp;" − "&amp;TEXT(C262,"0.##")&amp;" = "&amp;TEXT(E262,"0.##")&amp;"; для B: "&amp;TEXT(D263,"0.##")&amp;" − "&amp;TEXT(C263,"0.##")&amp;" = "&amp;TEXT(E263,"0.##")&amp;"; для C: "&amp;TEXT(D264,"0.##")&amp;" − "&amp;TEXT(C264,"0.##")&amp;" = "&amp;TEXT(E264,"0.##")&amp;"; для D: "&amp;TEXT(D265,"0.##")&amp;" − "&amp;TEXT(C265,"0.##")&amp;" = "&amp;TEXT(E265,"0.##")&amp;". Минус — завысили, плюс — занизили. Σ|rᵢ| = "&amp;TEXT(F266,"0.##")&amp;", Σrᵢ² = "&amp;TEXT(G266,"0.##")&amp;"."</f>
        <v/>
      </c>
    </row>
    <row r="261" outlineLevel="1" ht="30" customHeight="1">
      <c r="B261" s="16" t="inlineStr">
        <is>
          <t>Ноутбук</t>
        </is>
      </c>
      <c r="C261" s="16" t="inlineStr">
        <is>
          <t>Старое предсказание F_7(xᵢ)</t>
        </is>
      </c>
      <c r="D261" s="16" t="inlineStr">
        <is>
          <t>Реальная yᵢ</t>
        </is>
      </c>
      <c r="E261" s="16" t="inlineStr">
        <is>
          <t>Остаток rᵢ = yᵢ − F_7(xᵢ)</t>
        </is>
      </c>
      <c r="F261" s="16" t="inlineStr">
        <is>
          <t>|rᵢ|</t>
        </is>
      </c>
    </row>
    <row r="262" outlineLevel="1">
      <c r="B262" s="17" t="inlineStr">
        <is>
          <t>A</t>
        </is>
      </c>
      <c r="C262" s="24">
        <f>F251</f>
        <v/>
      </c>
      <c r="D262" s="25">
        <f>$E$11</f>
        <v/>
      </c>
      <c r="E262" s="20">
        <f>D262-C262</f>
        <v/>
      </c>
      <c r="F262" s="24">
        <f>ABS(E262)</f>
        <v/>
      </c>
    </row>
    <row r="263" outlineLevel="1">
      <c r="B263" s="17" t="inlineStr">
        <is>
          <t>B</t>
        </is>
      </c>
      <c r="C263" s="24">
        <f>F252</f>
        <v/>
      </c>
      <c r="D263" s="25">
        <f>$E$12</f>
        <v/>
      </c>
      <c r="E263" s="20">
        <f>D263-C263</f>
        <v/>
      </c>
      <c r="F263" s="24">
        <f>ABS(E263)</f>
        <v/>
      </c>
    </row>
    <row r="264" outlineLevel="1">
      <c r="B264" s="17" t="inlineStr">
        <is>
          <t>C</t>
        </is>
      </c>
      <c r="C264" s="24">
        <f>F253</f>
        <v/>
      </c>
      <c r="D264" s="25">
        <f>$E$13</f>
        <v/>
      </c>
      <c r="E264" s="20">
        <f>D264-C264</f>
        <v/>
      </c>
      <c r="F264" s="24">
        <f>ABS(E264)</f>
        <v/>
      </c>
    </row>
    <row r="265" outlineLevel="1">
      <c r="B265" s="17" t="inlineStr">
        <is>
          <t>D</t>
        </is>
      </c>
      <c r="C265" s="24">
        <f>F254</f>
        <v/>
      </c>
      <c r="D265" s="25">
        <f>$E$14</f>
        <v/>
      </c>
      <c r="E265" s="20">
        <f>D265-C265</f>
        <v/>
      </c>
      <c r="F265" s="24">
        <f>ABS(E265)</f>
        <v/>
      </c>
    </row>
    <row r="266" outlineLevel="1">
      <c r="B266" s="13" t="inlineStr">
        <is>
          <t>Σ|rᵢ|  и  Σrᵢ²</t>
        </is>
      </c>
      <c r="F266" s="20">
        <f>SUM(F262:F265)</f>
        <v/>
      </c>
      <c r="G266" s="20">
        <f>SUMSQ(E262:E265)</f>
        <v/>
      </c>
    </row>
    <row r="267" outlineLevel="1"/>
    <row r="268" outlineLevel="1">
      <c r="B268" s="13" t="inlineStr">
        <is>
          <t>B. Группировка по колонкам и поправки групп   (Теория, раздел 4)</t>
        </is>
      </c>
    </row>
    <row r="269" outlineLevel="1" ht="58" customHeight="1">
      <c r="B269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("&amp;TEXT(E262,"0.##")&amp;" + "&amp;TEXT(E263,"0.##")&amp;") / 2 = "&amp;TEXT(G271,"0.##")&amp;", остаётся "&amp;TEXT(H271,"0.##")&amp;";  экран 15″ {C, D}: γ = "&amp;TEXT(G272,"0.##")&amp;", остаётся "&amp;TEXT(H272,"0.##")&amp;";  SSD 256 {A, C}: γ = ("&amp;TEXT(E262,"0.##")&amp;" + "&amp;TEXT(E264,"0.##")&amp;") / 2 = "&amp;TEXT(G273,"0.##")&amp;", остаётся "&amp;TEXT(H273,"0.##")&amp;";  SSD 512 {B, D}: γ = "&amp;TEXT(G274,"0.##")&amp;", остаётся "&amp;TEXT(H274,"0.##")&amp;"."</f>
        <v/>
      </c>
    </row>
    <row r="270" outlineLevel="1" ht="30" customHeight="1">
      <c r="B270" s="16" t="inlineStr">
        <is>
          <t>Колонка</t>
        </is>
      </c>
      <c r="C270" s="16" t="inlineStr">
        <is>
          <t>Группа G</t>
        </is>
      </c>
      <c r="D270" s="16" t="inlineStr">
        <is>
          <t>Состав</t>
        </is>
      </c>
      <c r="E270" s="16" t="inlineStr">
        <is>
          <t>Σ остатков группы</t>
        </is>
      </c>
      <c r="F270" s="16" t="inlineStr">
        <is>
          <t>|G|</t>
        </is>
      </c>
      <c r="G270" s="16" t="inlineStr">
        <is>
          <t>Поправка γ_G = Σrᵢ / |G|</t>
        </is>
      </c>
      <c r="H270" s="16" t="inlineStr">
        <is>
          <t>Остаётся Σ(rᵢ − γ_G)²</t>
        </is>
      </c>
    </row>
    <row r="271" outlineLevel="1">
      <c r="B271" s="17" t="inlineStr">
        <is>
          <t>Экран</t>
        </is>
      </c>
      <c r="C271" s="18" t="inlineStr">
        <is>
          <t>13"</t>
        </is>
      </c>
      <c r="D271" s="18" t="inlineStr">
        <is>
          <t>A, B</t>
        </is>
      </c>
      <c r="E271" s="24">
        <f>E262+E263</f>
        <v/>
      </c>
      <c r="F271" s="26" t="n">
        <v>2</v>
      </c>
      <c r="G271" s="20">
        <f>E271/F271</f>
        <v/>
      </c>
      <c r="H271" s="24">
        <f>(E262-G271)^2+(E263-G271)^2</f>
        <v/>
      </c>
    </row>
    <row r="272" outlineLevel="1">
      <c r="B272" s="17" t="inlineStr">
        <is>
          <t>Экран</t>
        </is>
      </c>
      <c r="C272" s="18" t="inlineStr">
        <is>
          <t>15"</t>
        </is>
      </c>
      <c r="D272" s="18" t="inlineStr">
        <is>
          <t>C, D</t>
        </is>
      </c>
      <c r="E272" s="24">
        <f>E264+E265</f>
        <v/>
      </c>
      <c r="F272" s="26" t="n">
        <v>2</v>
      </c>
      <c r="G272" s="20">
        <f>E272/F272</f>
        <v/>
      </c>
      <c r="H272" s="24">
        <f>(E264-G272)^2+(E265-G272)^2</f>
        <v/>
      </c>
    </row>
    <row r="273" outlineLevel="1">
      <c r="B273" s="17" t="inlineStr">
        <is>
          <t>SSD</t>
        </is>
      </c>
      <c r="C273" s="18" t="inlineStr">
        <is>
          <t>256 ГБ</t>
        </is>
      </c>
      <c r="D273" s="18" t="inlineStr">
        <is>
          <t>A, C</t>
        </is>
      </c>
      <c r="E273" s="24">
        <f>E262+E264</f>
        <v/>
      </c>
      <c r="F273" s="26" t="n">
        <v>2</v>
      </c>
      <c r="G273" s="20">
        <f>E273/F273</f>
        <v/>
      </c>
      <c r="H273" s="24">
        <f>(E262-G273)^2+(E264-G273)^2</f>
        <v/>
      </c>
    </row>
    <row r="274" outlineLevel="1">
      <c r="B274" s="17" t="inlineStr">
        <is>
          <t>SSD</t>
        </is>
      </c>
      <c r="C274" s="18" t="inlineStr">
        <is>
          <t>512 ГБ</t>
        </is>
      </c>
      <c r="D274" s="18" t="inlineStr">
        <is>
          <t>B, D</t>
        </is>
      </c>
      <c r="E274" s="24">
        <f>E263+E265</f>
        <v/>
      </c>
      <c r="F274" s="26" t="n">
        <v>2</v>
      </c>
      <c r="G274" s="20">
        <f>E274/F274</f>
        <v/>
      </c>
      <c r="H274" s="24">
        <f>(E263-G274)^2+(E265-G274)^2</f>
        <v/>
      </c>
    </row>
    <row r="275" outlineLevel="1"/>
    <row r="276" outlineLevel="1">
      <c r="B276" s="13" t="inlineStr">
        <is>
          <t>C. Выбор колонки: наименьшая оставшаяся сумма квадратов   (Теория, раздел 5)</t>
        </is>
      </c>
    </row>
    <row r="277" outlineLevel="1" ht="44" customHeight="1">
      <c r="B277" s="21">
        <f>"Складываем ошибку, оставшуюся в двух группах каждой колонки, и берём минимум. Экран: "&amp;TEXT(H271,"0.##")&amp;" + "&amp;TEXT(H272,"0.##")&amp;" = "&amp;TEXT(C279,"0.##")&amp;";  SSD: "&amp;TEXT(H273,"0.##")&amp;" + "&amp;TEXT(H274,"0.##")&amp;" = "&amp;TEXT(C280,"0.##")&amp;".  Меньше у: "&amp;$E$279&amp;IF(MIN(C279:C280)&gt;0," (у соседки в "&amp;TEXT(MAX(C279:C280)/MIN(C279:C280),"0.00")&amp;" раза больше)","")&amp;". Значит h_8 строится по этой колонке, и каждому объекту достаётся γ его группы."</f>
        <v/>
      </c>
    </row>
    <row r="278" outlineLevel="1" ht="30" customHeight="1">
      <c r="B278" s="16" t="inlineStr">
        <is>
          <t>Колонка j</t>
        </is>
      </c>
      <c r="C278" s="16" t="inlineStr">
        <is>
          <t>Остаётся Σ(rᵢ − γ)² по обеим группам</t>
        </is>
      </c>
      <c r="D278" s="16" t="inlineStr">
        <is>
          <t>Во сколько раз больше минимума</t>
        </is>
      </c>
      <c r="E278" s="16" t="inlineStr">
        <is>
          <t>Выбор j* = argmin</t>
        </is>
      </c>
    </row>
    <row r="279" outlineLevel="1">
      <c r="B279" s="17" t="inlineStr">
        <is>
          <t>Экран</t>
        </is>
      </c>
      <c r="C279" s="24">
        <f>H271+H272</f>
        <v/>
      </c>
      <c r="D279" s="27">
        <f>IF(MIN(C279:C280)=0,"—",C279/MIN(C279:C280))</f>
        <v/>
      </c>
      <c r="E279" s="28">
        <f>IF(C279&lt;=C280,"экран","SSD")</f>
        <v/>
      </c>
    </row>
    <row r="280" outlineLevel="1">
      <c r="B280" s="17" t="inlineStr">
        <is>
          <t>SSD</t>
        </is>
      </c>
      <c r="C280" s="24">
        <f>H273+H274</f>
        <v/>
      </c>
      <c r="D280" s="27">
        <f>IF(MIN(C279:C280)=0,"—",C280/MIN(C279:C280))</f>
        <v/>
      </c>
      <c r="E280" s="18" t="n"/>
    </row>
    <row r="281" outlineLevel="1"/>
    <row r="282" outlineLevel="1">
      <c r="B282" s="13" t="inlineStr">
        <is>
          <t>D. Обновление модели: F_8(xᵢ) = F_7(xᵢ) + ν·h_8(xᵢ)   (Теория, раздел 6)</t>
        </is>
      </c>
    </row>
    <row r="283" outlineLevel="1" ht="62" customHeight="1">
      <c r="B283" s="21">
        <f>"Прибавляем не всю поправку, а долю ν = "&amp;TEXT($D$8,"0.00")&amp;". A: F_8(A) = "&amp;TEXT(C285,"0.##")&amp;" + "&amp;TEXT($D$8,"0.00")&amp;" × ("&amp;TEXT(D285,"0.##")&amp;") = "&amp;TEXT(F285,"0.##")&amp;", остаток "&amp;TEXT(G285,"0.##")&amp;" − "&amp;TEXT(F285,"0.##")&amp;" = "&amp;TEXT(H285,"0.##")&amp;";  D: F_8(D) = "&amp;TEXT(C288,"0.##")&amp;" + "&amp;TEXT($D$8,"0.00")&amp;" × ("&amp;TEXT(D288,"0.##")&amp;") = "&amp;TEXT(F288,"0.##")&amp;", остаток "&amp;TEXT(H288,"0.##")&amp;". "&amp;"Итог: Σ|rᵢ| = "&amp;TEXT(I289,"0.##")&amp;" (было "&amp;TEXT(F266,"0.##")&amp;"), Σrᵢ² = "&amp;TEXT(J289,"0.##")&amp;" (было "&amp;TEXT(G266,"0.##")&amp;"). Невыученная часть вклада колонки «"&amp;$E$279&amp;"» умножилась на (1 − ν) = "&amp;TEXT(1-$D$8,"0.00")&amp;": из "&amp;TEXT(MAX(ABS(D285),ABS(D286)),"0.##")&amp;" осталось "&amp;TEXT(MAX(ABS(D285),ABS(D286))*(1-$D$8),"0.##")&amp;"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284" outlineLevel="1" ht="30" customHeight="1">
      <c r="B284" s="16" t="inlineStr">
        <is>
          <t>Ноутбук</t>
        </is>
      </c>
      <c r="C284" s="16" t="inlineStr">
        <is>
          <t>F_{7}(xᵢ)</t>
        </is>
      </c>
      <c r="D284" s="16" t="inlineStr">
        <is>
          <t>h_8(xᵢ) — поправка выбранной колонки</t>
        </is>
      </c>
      <c r="E284" s="16" t="inlineStr">
        <is>
          <t>ν·h_8(xᵢ)</t>
        </is>
      </c>
      <c r="F284" s="16" t="inlineStr">
        <is>
          <t>F_8(xᵢ) = F_{7} + ν·h_8</t>
        </is>
      </c>
      <c r="G284" s="16" t="inlineStr">
        <is>
          <t>yᵢ</t>
        </is>
      </c>
      <c r="H284" s="16" t="inlineStr">
        <is>
          <t>Новый остаток yᵢ − F_8(xᵢ)</t>
        </is>
      </c>
      <c r="I284" s="16" t="inlineStr">
        <is>
          <t>|остаток|</t>
        </is>
      </c>
      <c r="J284" s="16" t="inlineStr">
        <is>
          <t>остаток²</t>
        </is>
      </c>
    </row>
    <row r="285" outlineLevel="1">
      <c r="B285" s="17" t="inlineStr">
        <is>
          <t>A</t>
        </is>
      </c>
      <c r="C285" s="24">
        <f>F251</f>
        <v/>
      </c>
      <c r="D285" s="24">
        <f>IF($E$279="экран",G271,G273)</f>
        <v/>
      </c>
      <c r="E285" s="24">
        <f>$D$8*D285</f>
        <v/>
      </c>
      <c r="F285" s="20">
        <f>C285+E285</f>
        <v/>
      </c>
      <c r="G285" s="25">
        <f>$E$11</f>
        <v/>
      </c>
      <c r="H285" s="20">
        <f>G285-F285</f>
        <v/>
      </c>
      <c r="I285" s="24">
        <f>ABS(H285)</f>
        <v/>
      </c>
      <c r="J285" s="24">
        <f>H285^2</f>
        <v/>
      </c>
    </row>
    <row r="286" outlineLevel="1">
      <c r="B286" s="17" t="inlineStr">
        <is>
          <t>B</t>
        </is>
      </c>
      <c r="C286" s="24">
        <f>F252</f>
        <v/>
      </c>
      <c r="D286" s="24">
        <f>IF($E$279="экран",G271,G274)</f>
        <v/>
      </c>
      <c r="E286" s="24">
        <f>$D$8*D286</f>
        <v/>
      </c>
      <c r="F286" s="20">
        <f>C286+E286</f>
        <v/>
      </c>
      <c r="G286" s="25">
        <f>$E$12</f>
        <v/>
      </c>
      <c r="H286" s="20">
        <f>G286-F286</f>
        <v/>
      </c>
      <c r="I286" s="24">
        <f>ABS(H286)</f>
        <v/>
      </c>
      <c r="J286" s="24">
        <f>H286^2</f>
        <v/>
      </c>
    </row>
    <row r="287" outlineLevel="1">
      <c r="B287" s="17" t="inlineStr">
        <is>
          <t>C</t>
        </is>
      </c>
      <c r="C287" s="24">
        <f>F253</f>
        <v/>
      </c>
      <c r="D287" s="24">
        <f>IF($E$279="экран",G272,G273)</f>
        <v/>
      </c>
      <c r="E287" s="24">
        <f>$D$8*D287</f>
        <v/>
      </c>
      <c r="F287" s="20">
        <f>C287+E287</f>
        <v/>
      </c>
      <c r="G287" s="25">
        <f>$E$13</f>
        <v/>
      </c>
      <c r="H287" s="20">
        <f>G287-F287</f>
        <v/>
      </c>
      <c r="I287" s="24">
        <f>ABS(H287)</f>
        <v/>
      </c>
      <c r="J287" s="24">
        <f>H287^2</f>
        <v/>
      </c>
    </row>
    <row r="288" outlineLevel="1">
      <c r="B288" s="17" t="inlineStr">
        <is>
          <t>D</t>
        </is>
      </c>
      <c r="C288" s="24">
        <f>F254</f>
        <v/>
      </c>
      <c r="D288" s="24">
        <f>IF($E$279="экран",G272,G274)</f>
        <v/>
      </c>
      <c r="E288" s="24">
        <f>$D$8*D288</f>
        <v/>
      </c>
      <c r="F288" s="20">
        <f>C288+E288</f>
        <v/>
      </c>
      <c r="G288" s="25">
        <f>$E$14</f>
        <v/>
      </c>
      <c r="H288" s="20">
        <f>G288-F288</f>
        <v/>
      </c>
      <c r="I288" s="24">
        <f>ABS(H288)</f>
        <v/>
      </c>
      <c r="J288" s="24">
        <f>H288^2</f>
        <v/>
      </c>
    </row>
    <row r="289" outlineLevel="1">
      <c r="B289" s="13" t="inlineStr">
        <is>
          <t>Итого после шага:  Σ|rᵢ|  и  Σrᵢ²</t>
        </is>
      </c>
      <c r="I289" s="20">
        <f>SUM(I285:I288)</f>
        <v/>
      </c>
      <c r="J289" s="20">
        <f>SUM(J285:J288)</f>
        <v/>
      </c>
    </row>
    <row r="291" ht="22" customHeight="1">
      <c r="B291" s="22" t="inlineStr">
        <is>
          <t>Шаг 9:  F_9 = F_8 + ν·h_9</t>
        </is>
      </c>
    </row>
    <row r="292" outlineLevel="1">
      <c r="B292" s="23">
        <f>"Выбрана колонка: "&amp;$E$313&amp;"   ·   Σ|rᵢ|: "&amp;TEXT(F300,"0.##")&amp;" → "&amp;TEXT(I323,"0.##")&amp;"   ·   Σrᵢ²: "&amp;TEXT(G300,"0.##")&amp;" → "&amp;TEXT(J323,"0.##")</f>
        <v/>
      </c>
    </row>
    <row r="293" outlineLevel="1">
      <c r="B293" s="13" t="inlineStr">
        <is>
          <t>A. Остатки текущей модели F_8   (Теория, раздел 3)</t>
        </is>
      </c>
    </row>
    <row r="294" outlineLevel="1" ht="46" customHeight="1">
      <c r="B294" s="21">
        <f>"Остаток — антиградиент квадратичной потери: rᵢ = yᵢ − F_8(xᵢ) = −∂L/∂F — «что модель ещё не выучила». Для A: "&amp;TEXT(D296,"0.##")&amp;" − "&amp;TEXT(C296,"0.##")&amp;" = "&amp;TEXT(E296,"0.##")&amp;"; для B: "&amp;TEXT(D297,"0.##")&amp;" − "&amp;TEXT(C297,"0.##")&amp;" = "&amp;TEXT(E297,"0.##")&amp;"; для C: "&amp;TEXT(D298,"0.##")&amp;" − "&amp;TEXT(C298,"0.##")&amp;" = "&amp;TEXT(E298,"0.##")&amp;"; для D: "&amp;TEXT(D299,"0.##")&amp;" − "&amp;TEXT(C299,"0.##")&amp;" = "&amp;TEXT(E299,"0.##")&amp;". Минус — завысили, плюс — занизили. Σ|rᵢ| = "&amp;TEXT(F300,"0.##")&amp;", Σrᵢ² = "&amp;TEXT(G300,"0.##")&amp;"."</f>
        <v/>
      </c>
    </row>
    <row r="295" outlineLevel="1" ht="30" customHeight="1">
      <c r="B295" s="16" t="inlineStr">
        <is>
          <t>Ноутбук</t>
        </is>
      </c>
      <c r="C295" s="16" t="inlineStr">
        <is>
          <t>Старое предсказание F_8(xᵢ)</t>
        </is>
      </c>
      <c r="D295" s="16" t="inlineStr">
        <is>
          <t>Реальная yᵢ</t>
        </is>
      </c>
      <c r="E295" s="16" t="inlineStr">
        <is>
          <t>Остаток rᵢ = yᵢ − F_8(xᵢ)</t>
        </is>
      </c>
      <c r="F295" s="16" t="inlineStr">
        <is>
          <t>|rᵢ|</t>
        </is>
      </c>
    </row>
    <row r="296" outlineLevel="1">
      <c r="B296" s="17" t="inlineStr">
        <is>
          <t>A</t>
        </is>
      </c>
      <c r="C296" s="24">
        <f>F285</f>
        <v/>
      </c>
      <c r="D296" s="25">
        <f>$E$11</f>
        <v/>
      </c>
      <c r="E296" s="20">
        <f>D296-C296</f>
        <v/>
      </c>
      <c r="F296" s="24">
        <f>ABS(E296)</f>
        <v/>
      </c>
    </row>
    <row r="297" outlineLevel="1">
      <c r="B297" s="17" t="inlineStr">
        <is>
          <t>B</t>
        </is>
      </c>
      <c r="C297" s="24">
        <f>F286</f>
        <v/>
      </c>
      <c r="D297" s="25">
        <f>$E$12</f>
        <v/>
      </c>
      <c r="E297" s="20">
        <f>D297-C297</f>
        <v/>
      </c>
      <c r="F297" s="24">
        <f>ABS(E297)</f>
        <v/>
      </c>
    </row>
    <row r="298" outlineLevel="1">
      <c r="B298" s="17" t="inlineStr">
        <is>
          <t>C</t>
        </is>
      </c>
      <c r="C298" s="24">
        <f>F287</f>
        <v/>
      </c>
      <c r="D298" s="25">
        <f>$E$13</f>
        <v/>
      </c>
      <c r="E298" s="20">
        <f>D298-C298</f>
        <v/>
      </c>
      <c r="F298" s="24">
        <f>ABS(E298)</f>
        <v/>
      </c>
    </row>
    <row r="299" outlineLevel="1">
      <c r="B299" s="17" t="inlineStr">
        <is>
          <t>D</t>
        </is>
      </c>
      <c r="C299" s="24">
        <f>F288</f>
        <v/>
      </c>
      <c r="D299" s="25">
        <f>$E$14</f>
        <v/>
      </c>
      <c r="E299" s="20">
        <f>D299-C299</f>
        <v/>
      </c>
      <c r="F299" s="24">
        <f>ABS(E299)</f>
        <v/>
      </c>
    </row>
    <row r="300" outlineLevel="1">
      <c r="B300" s="13" t="inlineStr">
        <is>
          <t>Σ|rᵢ|  и  Σrᵢ²</t>
        </is>
      </c>
      <c r="F300" s="20">
        <f>SUM(F296:F299)</f>
        <v/>
      </c>
      <c r="G300" s="20">
        <f>SUMSQ(E296:E299)</f>
        <v/>
      </c>
    </row>
    <row r="301" outlineLevel="1"/>
    <row r="302" outlineLevel="1">
      <c r="B302" s="13" t="inlineStr">
        <is>
          <t>B. Группировка по колонкам и поправки групп   (Теория, раздел 4)</t>
        </is>
      </c>
    </row>
    <row r="303" outlineLevel="1" ht="58" customHeight="1">
      <c r="B303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("&amp;TEXT(E296,"0.##")&amp;" + "&amp;TEXT(E297,"0.##")&amp;") / 2 = "&amp;TEXT(G305,"0.##")&amp;", остаётся "&amp;TEXT(H305,"0.##")&amp;";  экран 15″ {C, D}: γ = "&amp;TEXT(G306,"0.##")&amp;", остаётся "&amp;TEXT(H306,"0.##")&amp;";  SSD 256 {A, C}: γ = ("&amp;TEXT(E296,"0.##")&amp;" + "&amp;TEXT(E298,"0.##")&amp;") / 2 = "&amp;TEXT(G307,"0.##")&amp;", остаётся "&amp;TEXT(H307,"0.##")&amp;";  SSD 512 {B, D}: γ = "&amp;TEXT(G308,"0.##")&amp;", остаётся "&amp;TEXT(H308,"0.##")&amp;"."</f>
        <v/>
      </c>
    </row>
    <row r="304" outlineLevel="1" ht="30" customHeight="1">
      <c r="B304" s="16" t="inlineStr">
        <is>
          <t>Колонка</t>
        </is>
      </c>
      <c r="C304" s="16" t="inlineStr">
        <is>
          <t>Группа G</t>
        </is>
      </c>
      <c r="D304" s="16" t="inlineStr">
        <is>
          <t>Состав</t>
        </is>
      </c>
      <c r="E304" s="16" t="inlineStr">
        <is>
          <t>Σ остатков группы</t>
        </is>
      </c>
      <c r="F304" s="16" t="inlineStr">
        <is>
          <t>|G|</t>
        </is>
      </c>
      <c r="G304" s="16" t="inlineStr">
        <is>
          <t>Поправка γ_G = Σrᵢ / |G|</t>
        </is>
      </c>
      <c r="H304" s="16" t="inlineStr">
        <is>
          <t>Остаётся Σ(rᵢ − γ_G)²</t>
        </is>
      </c>
    </row>
    <row r="305" outlineLevel="1">
      <c r="B305" s="17" t="inlineStr">
        <is>
          <t>Экран</t>
        </is>
      </c>
      <c r="C305" s="18" t="inlineStr">
        <is>
          <t>13"</t>
        </is>
      </c>
      <c r="D305" s="18" t="inlineStr">
        <is>
          <t>A, B</t>
        </is>
      </c>
      <c r="E305" s="24">
        <f>E296+E297</f>
        <v/>
      </c>
      <c r="F305" s="26" t="n">
        <v>2</v>
      </c>
      <c r="G305" s="20">
        <f>E305/F305</f>
        <v/>
      </c>
      <c r="H305" s="24">
        <f>(E296-G305)^2+(E297-G305)^2</f>
        <v/>
      </c>
    </row>
    <row r="306" outlineLevel="1">
      <c r="B306" s="17" t="inlineStr">
        <is>
          <t>Экран</t>
        </is>
      </c>
      <c r="C306" s="18" t="inlineStr">
        <is>
          <t>15"</t>
        </is>
      </c>
      <c r="D306" s="18" t="inlineStr">
        <is>
          <t>C, D</t>
        </is>
      </c>
      <c r="E306" s="24">
        <f>E298+E299</f>
        <v/>
      </c>
      <c r="F306" s="26" t="n">
        <v>2</v>
      </c>
      <c r="G306" s="20">
        <f>E306/F306</f>
        <v/>
      </c>
      <c r="H306" s="24">
        <f>(E298-G306)^2+(E299-G306)^2</f>
        <v/>
      </c>
    </row>
    <row r="307" outlineLevel="1">
      <c r="B307" s="17" t="inlineStr">
        <is>
          <t>SSD</t>
        </is>
      </c>
      <c r="C307" s="18" t="inlineStr">
        <is>
          <t>256 ГБ</t>
        </is>
      </c>
      <c r="D307" s="18" t="inlineStr">
        <is>
          <t>A, C</t>
        </is>
      </c>
      <c r="E307" s="24">
        <f>E296+E298</f>
        <v/>
      </c>
      <c r="F307" s="26" t="n">
        <v>2</v>
      </c>
      <c r="G307" s="20">
        <f>E307/F307</f>
        <v/>
      </c>
      <c r="H307" s="24">
        <f>(E296-G307)^2+(E298-G307)^2</f>
        <v/>
      </c>
    </row>
    <row r="308" outlineLevel="1">
      <c r="B308" s="17" t="inlineStr">
        <is>
          <t>SSD</t>
        </is>
      </c>
      <c r="C308" s="18" t="inlineStr">
        <is>
          <t>512 ГБ</t>
        </is>
      </c>
      <c r="D308" s="18" t="inlineStr">
        <is>
          <t>B, D</t>
        </is>
      </c>
      <c r="E308" s="24">
        <f>E297+E299</f>
        <v/>
      </c>
      <c r="F308" s="26" t="n">
        <v>2</v>
      </c>
      <c r="G308" s="20">
        <f>E308/F308</f>
        <v/>
      </c>
      <c r="H308" s="24">
        <f>(E297-G308)^2+(E299-G308)^2</f>
        <v/>
      </c>
    </row>
    <row r="309" outlineLevel="1"/>
    <row r="310" outlineLevel="1">
      <c r="B310" s="13" t="inlineStr">
        <is>
          <t>C. Выбор колонки: наименьшая оставшаяся сумма квадратов   (Теория, раздел 5)</t>
        </is>
      </c>
    </row>
    <row r="311" outlineLevel="1" ht="44" customHeight="1">
      <c r="B311" s="21">
        <f>"Складываем ошибку, оставшуюся в двух группах каждой колонки, и берём минимум. Экран: "&amp;TEXT(H305,"0.##")&amp;" + "&amp;TEXT(H306,"0.##")&amp;" = "&amp;TEXT(C313,"0.##")&amp;";  SSD: "&amp;TEXT(H307,"0.##")&amp;" + "&amp;TEXT(H308,"0.##")&amp;" = "&amp;TEXT(C314,"0.##")&amp;".  Меньше у: "&amp;$E$313&amp;IF(MIN(C313:C314)&gt;0," (у соседки в "&amp;TEXT(MAX(C313:C314)/MIN(C313:C314),"0.00")&amp;" раза больше)","")&amp;". Значит h_9 строится по этой колонке, и каждому объекту достаётся γ его группы."</f>
        <v/>
      </c>
    </row>
    <row r="312" outlineLevel="1" ht="30" customHeight="1">
      <c r="B312" s="16" t="inlineStr">
        <is>
          <t>Колонка j</t>
        </is>
      </c>
      <c r="C312" s="16" t="inlineStr">
        <is>
          <t>Остаётся Σ(rᵢ − γ)² по обеим группам</t>
        </is>
      </c>
      <c r="D312" s="16" t="inlineStr">
        <is>
          <t>Во сколько раз больше минимума</t>
        </is>
      </c>
      <c r="E312" s="16" t="inlineStr">
        <is>
          <t>Выбор j* = argmin</t>
        </is>
      </c>
    </row>
    <row r="313" outlineLevel="1">
      <c r="B313" s="17" t="inlineStr">
        <is>
          <t>Экран</t>
        </is>
      </c>
      <c r="C313" s="24">
        <f>H305+H306</f>
        <v/>
      </c>
      <c r="D313" s="27">
        <f>IF(MIN(C313:C314)=0,"—",C313/MIN(C313:C314))</f>
        <v/>
      </c>
      <c r="E313" s="28">
        <f>IF(C313&lt;=C314,"экран","SSD")</f>
        <v/>
      </c>
    </row>
    <row r="314" outlineLevel="1">
      <c r="B314" s="17" t="inlineStr">
        <is>
          <t>SSD</t>
        </is>
      </c>
      <c r="C314" s="24">
        <f>H307+H308</f>
        <v/>
      </c>
      <c r="D314" s="27">
        <f>IF(MIN(C313:C314)=0,"—",C314/MIN(C313:C314))</f>
        <v/>
      </c>
      <c r="E314" s="18" t="n"/>
    </row>
    <row r="315" outlineLevel="1"/>
    <row r="316" outlineLevel="1">
      <c r="B316" s="13" t="inlineStr">
        <is>
          <t>D. Обновление модели: F_9(xᵢ) = F_8(xᵢ) + ν·h_9(xᵢ)   (Теория, раздел 6)</t>
        </is>
      </c>
    </row>
    <row r="317" outlineLevel="1" ht="62" customHeight="1">
      <c r="B317" s="21">
        <f>"Прибавляем не всю поправку, а долю ν = "&amp;TEXT($D$8,"0.00")&amp;". A: F_9(A) = "&amp;TEXT(C319,"0.##")&amp;" + "&amp;TEXT($D$8,"0.00")&amp;" × ("&amp;TEXT(D319,"0.##")&amp;") = "&amp;TEXT(F319,"0.##")&amp;", остаток "&amp;TEXT(G319,"0.##")&amp;" − "&amp;TEXT(F319,"0.##")&amp;" = "&amp;TEXT(H319,"0.##")&amp;";  D: F_9(D) = "&amp;TEXT(C322,"0.##")&amp;" + "&amp;TEXT($D$8,"0.00")&amp;" × ("&amp;TEXT(D322,"0.##")&amp;") = "&amp;TEXT(F322,"0.##")&amp;", остаток "&amp;TEXT(H322,"0.##")&amp;". "&amp;"Итог: Σ|rᵢ| = "&amp;TEXT(I323,"0.##")&amp;" (было "&amp;TEXT(F300,"0.##")&amp;"), Σrᵢ² = "&amp;TEXT(J323,"0.##")&amp;" (было "&amp;TEXT(G300,"0.##")&amp;"). Невыученная часть вклада колонки «"&amp;$E$313&amp;"» умножилась на (1 − ν) = "&amp;TEXT(1-$D$8,"0.00")&amp;": из "&amp;TEXT(MAX(ABS(D319),ABS(D320)),"0.##")&amp;" осталось "&amp;TEXT(MAX(ABS(D319),ABS(D320))*(1-$D$8),"0.##")&amp;"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318" outlineLevel="1" ht="30" customHeight="1">
      <c r="B318" s="16" t="inlineStr">
        <is>
          <t>Ноутбук</t>
        </is>
      </c>
      <c r="C318" s="16" t="inlineStr">
        <is>
          <t>F_{8}(xᵢ)</t>
        </is>
      </c>
      <c r="D318" s="16" t="inlineStr">
        <is>
          <t>h_9(xᵢ) — поправка выбранной колонки</t>
        </is>
      </c>
      <c r="E318" s="16" t="inlineStr">
        <is>
          <t>ν·h_9(xᵢ)</t>
        </is>
      </c>
      <c r="F318" s="16" t="inlineStr">
        <is>
          <t>F_9(xᵢ) = F_{8} + ν·h_9</t>
        </is>
      </c>
      <c r="G318" s="16" t="inlineStr">
        <is>
          <t>yᵢ</t>
        </is>
      </c>
      <c r="H318" s="16" t="inlineStr">
        <is>
          <t>Новый остаток yᵢ − F_9(xᵢ)</t>
        </is>
      </c>
      <c r="I318" s="16" t="inlineStr">
        <is>
          <t>|остаток|</t>
        </is>
      </c>
      <c r="J318" s="16" t="inlineStr">
        <is>
          <t>остаток²</t>
        </is>
      </c>
    </row>
    <row r="319" outlineLevel="1">
      <c r="B319" s="17" t="inlineStr">
        <is>
          <t>A</t>
        </is>
      </c>
      <c r="C319" s="24">
        <f>F285</f>
        <v/>
      </c>
      <c r="D319" s="24">
        <f>IF($E$313="экран",G305,G307)</f>
        <v/>
      </c>
      <c r="E319" s="24">
        <f>$D$8*D319</f>
        <v/>
      </c>
      <c r="F319" s="20">
        <f>C319+E319</f>
        <v/>
      </c>
      <c r="G319" s="25">
        <f>$E$11</f>
        <v/>
      </c>
      <c r="H319" s="20">
        <f>G319-F319</f>
        <v/>
      </c>
      <c r="I319" s="24">
        <f>ABS(H319)</f>
        <v/>
      </c>
      <c r="J319" s="24">
        <f>H319^2</f>
        <v/>
      </c>
    </row>
    <row r="320" outlineLevel="1">
      <c r="B320" s="17" t="inlineStr">
        <is>
          <t>B</t>
        </is>
      </c>
      <c r="C320" s="24">
        <f>F286</f>
        <v/>
      </c>
      <c r="D320" s="24">
        <f>IF($E$313="экран",G305,G308)</f>
        <v/>
      </c>
      <c r="E320" s="24">
        <f>$D$8*D320</f>
        <v/>
      </c>
      <c r="F320" s="20">
        <f>C320+E320</f>
        <v/>
      </c>
      <c r="G320" s="25">
        <f>$E$12</f>
        <v/>
      </c>
      <c r="H320" s="20">
        <f>G320-F320</f>
        <v/>
      </c>
      <c r="I320" s="24">
        <f>ABS(H320)</f>
        <v/>
      </c>
      <c r="J320" s="24">
        <f>H320^2</f>
        <v/>
      </c>
    </row>
    <row r="321" outlineLevel="1">
      <c r="B321" s="17" t="inlineStr">
        <is>
          <t>C</t>
        </is>
      </c>
      <c r="C321" s="24">
        <f>F287</f>
        <v/>
      </c>
      <c r="D321" s="24">
        <f>IF($E$313="экран",G306,G307)</f>
        <v/>
      </c>
      <c r="E321" s="24">
        <f>$D$8*D321</f>
        <v/>
      </c>
      <c r="F321" s="20">
        <f>C321+E321</f>
        <v/>
      </c>
      <c r="G321" s="25">
        <f>$E$13</f>
        <v/>
      </c>
      <c r="H321" s="20">
        <f>G321-F321</f>
        <v/>
      </c>
      <c r="I321" s="24">
        <f>ABS(H321)</f>
        <v/>
      </c>
      <c r="J321" s="24">
        <f>H321^2</f>
        <v/>
      </c>
    </row>
    <row r="322" outlineLevel="1">
      <c r="B322" s="17" t="inlineStr">
        <is>
          <t>D</t>
        </is>
      </c>
      <c r="C322" s="24">
        <f>F288</f>
        <v/>
      </c>
      <c r="D322" s="24">
        <f>IF($E$313="экран",G306,G308)</f>
        <v/>
      </c>
      <c r="E322" s="24">
        <f>$D$8*D322</f>
        <v/>
      </c>
      <c r="F322" s="20">
        <f>C322+E322</f>
        <v/>
      </c>
      <c r="G322" s="25">
        <f>$E$14</f>
        <v/>
      </c>
      <c r="H322" s="20">
        <f>G322-F322</f>
        <v/>
      </c>
      <c r="I322" s="24">
        <f>ABS(H322)</f>
        <v/>
      </c>
      <c r="J322" s="24">
        <f>H322^2</f>
        <v/>
      </c>
    </row>
    <row r="323" outlineLevel="1">
      <c r="B323" s="13" t="inlineStr">
        <is>
          <t>Итого после шага:  Σ|rᵢ|  и  Σrᵢ²</t>
        </is>
      </c>
      <c r="I323" s="20">
        <f>SUM(I319:I322)</f>
        <v/>
      </c>
      <c r="J323" s="20">
        <f>SUM(J319:J322)</f>
        <v/>
      </c>
    </row>
    <row r="325" ht="22" customHeight="1">
      <c r="B325" s="22" t="inlineStr">
        <is>
          <t>Шаг 10:  F_10 = F_9 + ν·h_10</t>
        </is>
      </c>
    </row>
    <row r="326" outlineLevel="1">
      <c r="B326" s="23">
        <f>"Выбрана колонка: "&amp;$E$347&amp;"   ·   Σ|rᵢ|: "&amp;TEXT(F334,"0.##")&amp;" → "&amp;TEXT(I357,"0.##")&amp;"   ·   Σrᵢ²: "&amp;TEXT(G334,"0.##")&amp;" → "&amp;TEXT(J357,"0.##")</f>
        <v/>
      </c>
    </row>
    <row r="327" outlineLevel="1">
      <c r="B327" s="13" t="inlineStr">
        <is>
          <t>A. Остатки текущей модели F_9   (Теория, раздел 3)</t>
        </is>
      </c>
    </row>
    <row r="328" outlineLevel="1" ht="46" customHeight="1">
      <c r="B328" s="21">
        <f>"Остаток — антиградиент квадратичной потери: rᵢ = yᵢ − F_9(xᵢ) = −∂L/∂F — «что модель ещё не выучила». Для A: "&amp;TEXT(D330,"0.##")&amp;" − "&amp;TEXT(C330,"0.##")&amp;" = "&amp;TEXT(E330,"0.##")&amp;"; для B: "&amp;TEXT(D331,"0.##")&amp;" − "&amp;TEXT(C331,"0.##")&amp;" = "&amp;TEXT(E331,"0.##")&amp;"; для C: "&amp;TEXT(D332,"0.##")&amp;" − "&amp;TEXT(C332,"0.##")&amp;" = "&amp;TEXT(E332,"0.##")&amp;"; для D: "&amp;TEXT(D333,"0.##")&amp;" − "&amp;TEXT(C333,"0.##")&amp;" = "&amp;TEXT(E333,"0.##")&amp;". Минус — завысили, плюс — занизили. Σ|rᵢ| = "&amp;TEXT(F334,"0.##")&amp;", Σrᵢ² = "&amp;TEXT(G334,"0.##")&amp;"."</f>
        <v/>
      </c>
    </row>
    <row r="329" outlineLevel="1" ht="30" customHeight="1">
      <c r="B329" s="16" t="inlineStr">
        <is>
          <t>Ноутбук</t>
        </is>
      </c>
      <c r="C329" s="16" t="inlineStr">
        <is>
          <t>Старое предсказание F_9(xᵢ)</t>
        </is>
      </c>
      <c r="D329" s="16" t="inlineStr">
        <is>
          <t>Реальная yᵢ</t>
        </is>
      </c>
      <c r="E329" s="16" t="inlineStr">
        <is>
          <t>Остаток rᵢ = yᵢ − F_9(xᵢ)</t>
        </is>
      </c>
      <c r="F329" s="16" t="inlineStr">
        <is>
          <t>|rᵢ|</t>
        </is>
      </c>
    </row>
    <row r="330" outlineLevel="1">
      <c r="B330" s="17" t="inlineStr">
        <is>
          <t>A</t>
        </is>
      </c>
      <c r="C330" s="24">
        <f>F319</f>
        <v/>
      </c>
      <c r="D330" s="25">
        <f>$E$11</f>
        <v/>
      </c>
      <c r="E330" s="20">
        <f>D330-C330</f>
        <v/>
      </c>
      <c r="F330" s="24">
        <f>ABS(E330)</f>
        <v/>
      </c>
    </row>
    <row r="331" outlineLevel="1">
      <c r="B331" s="17" t="inlineStr">
        <is>
          <t>B</t>
        </is>
      </c>
      <c r="C331" s="24">
        <f>F320</f>
        <v/>
      </c>
      <c r="D331" s="25">
        <f>$E$12</f>
        <v/>
      </c>
      <c r="E331" s="20">
        <f>D331-C331</f>
        <v/>
      </c>
      <c r="F331" s="24">
        <f>ABS(E331)</f>
        <v/>
      </c>
    </row>
    <row r="332" outlineLevel="1">
      <c r="B332" s="17" t="inlineStr">
        <is>
          <t>C</t>
        </is>
      </c>
      <c r="C332" s="24">
        <f>F321</f>
        <v/>
      </c>
      <c r="D332" s="25">
        <f>$E$13</f>
        <v/>
      </c>
      <c r="E332" s="20">
        <f>D332-C332</f>
        <v/>
      </c>
      <c r="F332" s="24">
        <f>ABS(E332)</f>
        <v/>
      </c>
    </row>
    <row r="333" outlineLevel="1">
      <c r="B333" s="17" t="inlineStr">
        <is>
          <t>D</t>
        </is>
      </c>
      <c r="C333" s="24">
        <f>F322</f>
        <v/>
      </c>
      <c r="D333" s="25">
        <f>$E$14</f>
        <v/>
      </c>
      <c r="E333" s="20">
        <f>D333-C333</f>
        <v/>
      </c>
      <c r="F333" s="24">
        <f>ABS(E333)</f>
        <v/>
      </c>
    </row>
    <row r="334" outlineLevel="1">
      <c r="B334" s="13" t="inlineStr">
        <is>
          <t>Σ|rᵢ|  и  Σrᵢ²</t>
        </is>
      </c>
      <c r="F334" s="20">
        <f>SUM(F330:F333)</f>
        <v/>
      </c>
      <c r="G334" s="20">
        <f>SUMSQ(E330:E333)</f>
        <v/>
      </c>
    </row>
    <row r="335" outlineLevel="1"/>
    <row r="336" outlineLevel="1">
      <c r="B336" s="13" t="inlineStr">
        <is>
          <t>B. Группировка по колонкам и поправки групп   (Теория, раздел 4)</t>
        </is>
      </c>
    </row>
    <row r="337" outlineLevel="1" ht="58" customHeight="1">
      <c r="B337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("&amp;TEXT(E330,"0.##")&amp;" + "&amp;TEXT(E331,"0.##")&amp;") / 2 = "&amp;TEXT(G339,"0.##")&amp;", остаётся "&amp;TEXT(H339,"0.##")&amp;";  экран 15″ {C, D}: γ = "&amp;TEXT(G340,"0.##")&amp;", остаётся "&amp;TEXT(H340,"0.##")&amp;";  SSD 256 {A, C}: γ = ("&amp;TEXT(E330,"0.##")&amp;" + "&amp;TEXT(E332,"0.##")&amp;") / 2 = "&amp;TEXT(G341,"0.##")&amp;", остаётся "&amp;TEXT(H341,"0.##")&amp;";  SSD 512 {B, D}: γ = "&amp;TEXT(G342,"0.##")&amp;", остаётся "&amp;TEXT(H342,"0.##")&amp;"."</f>
        <v/>
      </c>
    </row>
    <row r="338" outlineLevel="1" ht="30" customHeight="1">
      <c r="B338" s="16" t="inlineStr">
        <is>
          <t>Колонка</t>
        </is>
      </c>
      <c r="C338" s="16" t="inlineStr">
        <is>
          <t>Группа G</t>
        </is>
      </c>
      <c r="D338" s="16" t="inlineStr">
        <is>
          <t>Состав</t>
        </is>
      </c>
      <c r="E338" s="16" t="inlineStr">
        <is>
          <t>Σ остатков группы</t>
        </is>
      </c>
      <c r="F338" s="16" t="inlineStr">
        <is>
          <t>|G|</t>
        </is>
      </c>
      <c r="G338" s="16" t="inlineStr">
        <is>
          <t>Поправка γ_G = Σrᵢ / |G|</t>
        </is>
      </c>
      <c r="H338" s="16" t="inlineStr">
        <is>
          <t>Остаётся Σ(rᵢ − γ_G)²</t>
        </is>
      </c>
    </row>
    <row r="339" outlineLevel="1">
      <c r="B339" s="17" t="inlineStr">
        <is>
          <t>Экран</t>
        </is>
      </c>
      <c r="C339" s="18" t="inlineStr">
        <is>
          <t>13"</t>
        </is>
      </c>
      <c r="D339" s="18" t="inlineStr">
        <is>
          <t>A, B</t>
        </is>
      </c>
      <c r="E339" s="24">
        <f>E330+E331</f>
        <v/>
      </c>
      <c r="F339" s="26" t="n">
        <v>2</v>
      </c>
      <c r="G339" s="20">
        <f>E339/F339</f>
        <v/>
      </c>
      <c r="H339" s="24">
        <f>(E330-G339)^2+(E331-G339)^2</f>
        <v/>
      </c>
    </row>
    <row r="340" outlineLevel="1">
      <c r="B340" s="17" t="inlineStr">
        <is>
          <t>Экран</t>
        </is>
      </c>
      <c r="C340" s="18" t="inlineStr">
        <is>
          <t>15"</t>
        </is>
      </c>
      <c r="D340" s="18" t="inlineStr">
        <is>
          <t>C, D</t>
        </is>
      </c>
      <c r="E340" s="24">
        <f>E332+E333</f>
        <v/>
      </c>
      <c r="F340" s="26" t="n">
        <v>2</v>
      </c>
      <c r="G340" s="20">
        <f>E340/F340</f>
        <v/>
      </c>
      <c r="H340" s="24">
        <f>(E332-G340)^2+(E333-G340)^2</f>
        <v/>
      </c>
    </row>
    <row r="341" outlineLevel="1">
      <c r="B341" s="17" t="inlineStr">
        <is>
          <t>SSD</t>
        </is>
      </c>
      <c r="C341" s="18" t="inlineStr">
        <is>
          <t>256 ГБ</t>
        </is>
      </c>
      <c r="D341" s="18" t="inlineStr">
        <is>
          <t>A, C</t>
        </is>
      </c>
      <c r="E341" s="24">
        <f>E330+E332</f>
        <v/>
      </c>
      <c r="F341" s="26" t="n">
        <v>2</v>
      </c>
      <c r="G341" s="20">
        <f>E341/F341</f>
        <v/>
      </c>
      <c r="H341" s="24">
        <f>(E330-G341)^2+(E332-G341)^2</f>
        <v/>
      </c>
    </row>
    <row r="342" outlineLevel="1">
      <c r="B342" s="17" t="inlineStr">
        <is>
          <t>SSD</t>
        </is>
      </c>
      <c r="C342" s="18" t="inlineStr">
        <is>
          <t>512 ГБ</t>
        </is>
      </c>
      <c r="D342" s="18" t="inlineStr">
        <is>
          <t>B, D</t>
        </is>
      </c>
      <c r="E342" s="24">
        <f>E331+E333</f>
        <v/>
      </c>
      <c r="F342" s="26" t="n">
        <v>2</v>
      </c>
      <c r="G342" s="20">
        <f>E342/F342</f>
        <v/>
      </c>
      <c r="H342" s="24">
        <f>(E331-G342)^2+(E333-G342)^2</f>
        <v/>
      </c>
    </row>
    <row r="343" outlineLevel="1"/>
    <row r="344" outlineLevel="1">
      <c r="B344" s="13" t="inlineStr">
        <is>
          <t>C. Выбор колонки: наименьшая оставшаяся сумма квадратов   (Теория, раздел 5)</t>
        </is>
      </c>
    </row>
    <row r="345" outlineLevel="1" ht="44" customHeight="1">
      <c r="B345" s="21">
        <f>"Складываем ошибку, оставшуюся в двух группах каждой колонки, и берём минимум. Экран: "&amp;TEXT(H339,"0.##")&amp;" + "&amp;TEXT(H340,"0.##")&amp;" = "&amp;TEXT(C347,"0.##")&amp;";  SSD: "&amp;TEXT(H341,"0.##")&amp;" + "&amp;TEXT(H342,"0.##")&amp;" = "&amp;TEXT(C348,"0.##")&amp;".  Меньше у: "&amp;$E$347&amp;IF(MIN(C347:C348)&gt;0," (у соседки в "&amp;TEXT(MAX(C347:C348)/MIN(C347:C348),"0.00")&amp;" раза больше)","")&amp;". Значит h_10 строится по этой колонке, и каждому объекту достаётся γ его группы."</f>
        <v/>
      </c>
    </row>
    <row r="346" outlineLevel="1" ht="30" customHeight="1">
      <c r="B346" s="16" t="inlineStr">
        <is>
          <t>Колонка j</t>
        </is>
      </c>
      <c r="C346" s="16" t="inlineStr">
        <is>
          <t>Остаётся Σ(rᵢ − γ)² по обеим группам</t>
        </is>
      </c>
      <c r="D346" s="16" t="inlineStr">
        <is>
          <t>Во сколько раз больше минимума</t>
        </is>
      </c>
      <c r="E346" s="16" t="inlineStr">
        <is>
          <t>Выбор j* = argmin</t>
        </is>
      </c>
    </row>
    <row r="347" outlineLevel="1">
      <c r="B347" s="17" t="inlineStr">
        <is>
          <t>Экран</t>
        </is>
      </c>
      <c r="C347" s="24">
        <f>H339+H340</f>
        <v/>
      </c>
      <c r="D347" s="27">
        <f>IF(MIN(C347:C348)=0,"—",C347/MIN(C347:C348))</f>
        <v/>
      </c>
      <c r="E347" s="28">
        <f>IF(C347&lt;=C348,"экран","SSD")</f>
        <v/>
      </c>
    </row>
    <row r="348" outlineLevel="1">
      <c r="B348" s="17" t="inlineStr">
        <is>
          <t>SSD</t>
        </is>
      </c>
      <c r="C348" s="24">
        <f>H341+H342</f>
        <v/>
      </c>
      <c r="D348" s="27">
        <f>IF(MIN(C347:C348)=0,"—",C348/MIN(C347:C348))</f>
        <v/>
      </c>
      <c r="E348" s="18" t="n"/>
    </row>
    <row r="349" outlineLevel="1"/>
    <row r="350" outlineLevel="1">
      <c r="B350" s="13" t="inlineStr">
        <is>
          <t>D. Обновление модели: F_10(xᵢ) = F_9(xᵢ) + ν·h_10(xᵢ)   (Теория, раздел 6)</t>
        </is>
      </c>
    </row>
    <row r="351" outlineLevel="1" ht="62" customHeight="1">
      <c r="B351" s="21">
        <f>"Прибавляем не всю поправку, а долю ν = "&amp;TEXT($D$8,"0.00")&amp;". A: F_10(A) = "&amp;TEXT(C353,"0.##")&amp;" + "&amp;TEXT($D$8,"0.00")&amp;" × ("&amp;TEXT(D353,"0.##")&amp;") = "&amp;TEXT(F353,"0.##")&amp;", остаток "&amp;TEXT(G353,"0.##")&amp;" − "&amp;TEXT(F353,"0.##")&amp;" = "&amp;TEXT(H353,"0.##")&amp;";  D: F_10(D) = "&amp;TEXT(C356,"0.##")&amp;" + "&amp;TEXT($D$8,"0.00")&amp;" × ("&amp;TEXT(D356,"0.##")&amp;") = "&amp;TEXT(F356,"0.##")&amp;", остаток "&amp;TEXT(H356,"0.##")&amp;". "&amp;"Итог: Σ|rᵢ| = "&amp;TEXT(I357,"0.##")&amp;" (было "&amp;TEXT(F334,"0.##")&amp;"), Σrᵢ² = "&amp;TEXT(J357,"0.##")&amp;" (было "&amp;TEXT(G334,"0.##")&amp;"). Невыученная часть вклада колонки «"&amp;$E$347&amp;"» умножилась на (1 − ν) = "&amp;TEXT(1-$D$8,"0.00")&amp;": из "&amp;TEXT(MAX(ABS(D353),ABS(D354)),"0.##")&amp;" осталось "&amp;TEXT(MAX(ABS(D353),ABS(D354))*(1-$D$8),"0.##")&amp;"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352" outlineLevel="1" ht="30" customHeight="1">
      <c r="B352" s="16" t="inlineStr">
        <is>
          <t>Ноутбук</t>
        </is>
      </c>
      <c r="C352" s="16" t="inlineStr">
        <is>
          <t>F_{9}(xᵢ)</t>
        </is>
      </c>
      <c r="D352" s="16" t="inlineStr">
        <is>
          <t>h_10(xᵢ) — поправка выбранной колонки</t>
        </is>
      </c>
      <c r="E352" s="16" t="inlineStr">
        <is>
          <t>ν·h_10(xᵢ)</t>
        </is>
      </c>
      <c r="F352" s="16" t="inlineStr">
        <is>
          <t>F_10(xᵢ) = F_{9} + ν·h_10</t>
        </is>
      </c>
      <c r="G352" s="16" t="inlineStr">
        <is>
          <t>yᵢ</t>
        </is>
      </c>
      <c r="H352" s="16" t="inlineStr">
        <is>
          <t>Новый остаток yᵢ − F_10(xᵢ)</t>
        </is>
      </c>
      <c r="I352" s="16" t="inlineStr">
        <is>
          <t>|остаток|</t>
        </is>
      </c>
      <c r="J352" s="16" t="inlineStr">
        <is>
          <t>остаток²</t>
        </is>
      </c>
    </row>
    <row r="353" outlineLevel="1">
      <c r="B353" s="17" t="inlineStr">
        <is>
          <t>A</t>
        </is>
      </c>
      <c r="C353" s="24">
        <f>F319</f>
        <v/>
      </c>
      <c r="D353" s="24">
        <f>IF($E$347="экран",G339,G341)</f>
        <v/>
      </c>
      <c r="E353" s="24">
        <f>$D$8*D353</f>
        <v/>
      </c>
      <c r="F353" s="20">
        <f>C353+E353</f>
        <v/>
      </c>
      <c r="G353" s="25">
        <f>$E$11</f>
        <v/>
      </c>
      <c r="H353" s="20">
        <f>G353-F353</f>
        <v/>
      </c>
      <c r="I353" s="24">
        <f>ABS(H353)</f>
        <v/>
      </c>
      <c r="J353" s="24">
        <f>H353^2</f>
        <v/>
      </c>
    </row>
    <row r="354" outlineLevel="1">
      <c r="B354" s="17" t="inlineStr">
        <is>
          <t>B</t>
        </is>
      </c>
      <c r="C354" s="24">
        <f>F320</f>
        <v/>
      </c>
      <c r="D354" s="24">
        <f>IF($E$347="экран",G339,G342)</f>
        <v/>
      </c>
      <c r="E354" s="24">
        <f>$D$8*D354</f>
        <v/>
      </c>
      <c r="F354" s="20">
        <f>C354+E354</f>
        <v/>
      </c>
      <c r="G354" s="25">
        <f>$E$12</f>
        <v/>
      </c>
      <c r="H354" s="20">
        <f>G354-F354</f>
        <v/>
      </c>
      <c r="I354" s="24">
        <f>ABS(H354)</f>
        <v/>
      </c>
      <c r="J354" s="24">
        <f>H354^2</f>
        <v/>
      </c>
    </row>
    <row r="355" outlineLevel="1">
      <c r="B355" s="17" t="inlineStr">
        <is>
          <t>C</t>
        </is>
      </c>
      <c r="C355" s="24">
        <f>F321</f>
        <v/>
      </c>
      <c r="D355" s="24">
        <f>IF($E$347="экран",G340,G341)</f>
        <v/>
      </c>
      <c r="E355" s="24">
        <f>$D$8*D355</f>
        <v/>
      </c>
      <c r="F355" s="20">
        <f>C355+E355</f>
        <v/>
      </c>
      <c r="G355" s="25">
        <f>$E$13</f>
        <v/>
      </c>
      <c r="H355" s="20">
        <f>G355-F355</f>
        <v/>
      </c>
      <c r="I355" s="24">
        <f>ABS(H355)</f>
        <v/>
      </c>
      <c r="J355" s="24">
        <f>H355^2</f>
        <v/>
      </c>
    </row>
    <row r="356" outlineLevel="1">
      <c r="B356" s="17" t="inlineStr">
        <is>
          <t>D</t>
        </is>
      </c>
      <c r="C356" s="24">
        <f>F322</f>
        <v/>
      </c>
      <c r="D356" s="24">
        <f>IF($E$347="экран",G340,G342)</f>
        <v/>
      </c>
      <c r="E356" s="24">
        <f>$D$8*D356</f>
        <v/>
      </c>
      <c r="F356" s="20">
        <f>C356+E356</f>
        <v/>
      </c>
      <c r="G356" s="25">
        <f>$E$14</f>
        <v/>
      </c>
      <c r="H356" s="20">
        <f>G356-F356</f>
        <v/>
      </c>
      <c r="I356" s="24">
        <f>ABS(H356)</f>
        <v/>
      </c>
      <c r="J356" s="24">
        <f>H356^2</f>
        <v/>
      </c>
    </row>
    <row r="357" outlineLevel="1">
      <c r="B357" s="13" t="inlineStr">
        <is>
          <t>Итого после шага:  Σ|rᵢ|  и  Σrᵢ²</t>
        </is>
      </c>
      <c r="I357" s="20">
        <f>SUM(I353:I356)</f>
        <v/>
      </c>
      <c r="J357" s="20">
        <f>SUM(J353:J356)</f>
        <v/>
      </c>
    </row>
    <row r="359" ht="22" customHeight="1">
      <c r="B359" s="22" t="inlineStr">
        <is>
          <t>Шаг 11:  F_11 = F_10 + ν·h_11</t>
        </is>
      </c>
    </row>
    <row r="360" outlineLevel="1">
      <c r="B360" s="23">
        <f>"Выбрана колонка: "&amp;$E$381&amp;"   ·   Σ|rᵢ|: "&amp;TEXT(F368,"0.##")&amp;" → "&amp;TEXT(I391,"0.##")&amp;"   ·   Σrᵢ²: "&amp;TEXT(G368,"0.##")&amp;" → "&amp;TEXT(J391,"0.##")</f>
        <v/>
      </c>
    </row>
    <row r="361" outlineLevel="1">
      <c r="B361" s="13" t="inlineStr">
        <is>
          <t>A. Остатки текущей модели F_10   (Теория, раздел 3)</t>
        </is>
      </c>
    </row>
    <row r="362" outlineLevel="1" ht="46" customHeight="1">
      <c r="B362" s="21">
        <f>"Остаток — антиградиент квадратичной потери: rᵢ = yᵢ − F_10(xᵢ) = −∂L/∂F — «что модель ещё не выучила». Для A: "&amp;TEXT(D364,"0.##")&amp;" − "&amp;TEXT(C364,"0.##")&amp;" = "&amp;TEXT(E364,"0.##")&amp;"; для B: "&amp;TEXT(D365,"0.##")&amp;" − "&amp;TEXT(C365,"0.##")&amp;" = "&amp;TEXT(E365,"0.##")&amp;"; для C: "&amp;TEXT(D366,"0.##")&amp;" − "&amp;TEXT(C366,"0.##")&amp;" = "&amp;TEXT(E366,"0.##")&amp;"; для D: "&amp;TEXT(D367,"0.##")&amp;" − "&amp;TEXT(C367,"0.##")&amp;" = "&amp;TEXT(E367,"0.##")&amp;". Минус — завысили, плюс — занизили. Σ|rᵢ| = "&amp;TEXT(F368,"0.##")&amp;", Σrᵢ² = "&amp;TEXT(G368,"0.##")&amp;"."</f>
        <v/>
      </c>
    </row>
    <row r="363" outlineLevel="1" ht="30" customHeight="1">
      <c r="B363" s="16" t="inlineStr">
        <is>
          <t>Ноутбук</t>
        </is>
      </c>
      <c r="C363" s="16" t="inlineStr">
        <is>
          <t>Старое предсказание F_10(xᵢ)</t>
        </is>
      </c>
      <c r="D363" s="16" t="inlineStr">
        <is>
          <t>Реальная yᵢ</t>
        </is>
      </c>
      <c r="E363" s="16" t="inlineStr">
        <is>
          <t>Остаток rᵢ = yᵢ − F_10(xᵢ)</t>
        </is>
      </c>
      <c r="F363" s="16" t="inlineStr">
        <is>
          <t>|rᵢ|</t>
        </is>
      </c>
    </row>
    <row r="364" outlineLevel="1">
      <c r="B364" s="17" t="inlineStr">
        <is>
          <t>A</t>
        </is>
      </c>
      <c r="C364" s="24">
        <f>F353</f>
        <v/>
      </c>
      <c r="D364" s="25">
        <f>$E$11</f>
        <v/>
      </c>
      <c r="E364" s="20">
        <f>D364-C364</f>
        <v/>
      </c>
      <c r="F364" s="24">
        <f>ABS(E364)</f>
        <v/>
      </c>
    </row>
    <row r="365" outlineLevel="1">
      <c r="B365" s="17" t="inlineStr">
        <is>
          <t>B</t>
        </is>
      </c>
      <c r="C365" s="24">
        <f>F354</f>
        <v/>
      </c>
      <c r="D365" s="25">
        <f>$E$12</f>
        <v/>
      </c>
      <c r="E365" s="20">
        <f>D365-C365</f>
        <v/>
      </c>
      <c r="F365" s="24">
        <f>ABS(E365)</f>
        <v/>
      </c>
    </row>
    <row r="366" outlineLevel="1">
      <c r="B366" s="17" t="inlineStr">
        <is>
          <t>C</t>
        </is>
      </c>
      <c r="C366" s="24">
        <f>F355</f>
        <v/>
      </c>
      <c r="D366" s="25">
        <f>$E$13</f>
        <v/>
      </c>
      <c r="E366" s="20">
        <f>D366-C366</f>
        <v/>
      </c>
      <c r="F366" s="24">
        <f>ABS(E366)</f>
        <v/>
      </c>
    </row>
    <row r="367" outlineLevel="1">
      <c r="B367" s="17" t="inlineStr">
        <is>
          <t>D</t>
        </is>
      </c>
      <c r="C367" s="24">
        <f>F356</f>
        <v/>
      </c>
      <c r="D367" s="25">
        <f>$E$14</f>
        <v/>
      </c>
      <c r="E367" s="20">
        <f>D367-C367</f>
        <v/>
      </c>
      <c r="F367" s="24">
        <f>ABS(E367)</f>
        <v/>
      </c>
    </row>
    <row r="368" outlineLevel="1">
      <c r="B368" s="13" t="inlineStr">
        <is>
          <t>Σ|rᵢ|  и  Σrᵢ²</t>
        </is>
      </c>
      <c r="F368" s="20">
        <f>SUM(F364:F367)</f>
        <v/>
      </c>
      <c r="G368" s="20">
        <f>SUMSQ(E364:E367)</f>
        <v/>
      </c>
    </row>
    <row r="369" outlineLevel="1"/>
    <row r="370" outlineLevel="1">
      <c r="B370" s="13" t="inlineStr">
        <is>
          <t>B. Группировка по колонкам и поправки групп   (Теория, раздел 4)</t>
        </is>
      </c>
    </row>
    <row r="371" outlineLevel="1" ht="58" customHeight="1">
      <c r="B371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("&amp;TEXT(E364,"0.##")&amp;" + "&amp;TEXT(E365,"0.##")&amp;") / 2 = "&amp;TEXT(G373,"0.##")&amp;", остаётся "&amp;TEXT(H373,"0.##")&amp;";  экран 15″ {C, D}: γ = "&amp;TEXT(G374,"0.##")&amp;", остаётся "&amp;TEXT(H374,"0.##")&amp;";  SSD 256 {A, C}: γ = ("&amp;TEXT(E364,"0.##")&amp;" + "&amp;TEXT(E366,"0.##")&amp;") / 2 = "&amp;TEXT(G375,"0.##")&amp;", остаётся "&amp;TEXT(H375,"0.##")&amp;";  SSD 512 {B, D}: γ = "&amp;TEXT(G376,"0.##")&amp;", остаётся "&amp;TEXT(H376,"0.##")&amp;"."</f>
        <v/>
      </c>
    </row>
    <row r="372" outlineLevel="1" ht="30" customHeight="1">
      <c r="B372" s="16" t="inlineStr">
        <is>
          <t>Колонка</t>
        </is>
      </c>
      <c r="C372" s="16" t="inlineStr">
        <is>
          <t>Группа G</t>
        </is>
      </c>
      <c r="D372" s="16" t="inlineStr">
        <is>
          <t>Состав</t>
        </is>
      </c>
      <c r="E372" s="16" t="inlineStr">
        <is>
          <t>Σ остатков группы</t>
        </is>
      </c>
      <c r="F372" s="16" t="inlineStr">
        <is>
          <t>|G|</t>
        </is>
      </c>
      <c r="G372" s="16" t="inlineStr">
        <is>
          <t>Поправка γ_G = Σrᵢ / |G|</t>
        </is>
      </c>
      <c r="H372" s="16" t="inlineStr">
        <is>
          <t>Остаётся Σ(rᵢ − γ_G)²</t>
        </is>
      </c>
    </row>
    <row r="373" outlineLevel="1">
      <c r="B373" s="17" t="inlineStr">
        <is>
          <t>Экран</t>
        </is>
      </c>
      <c r="C373" s="18" t="inlineStr">
        <is>
          <t>13"</t>
        </is>
      </c>
      <c r="D373" s="18" t="inlineStr">
        <is>
          <t>A, B</t>
        </is>
      </c>
      <c r="E373" s="24">
        <f>E364+E365</f>
        <v/>
      </c>
      <c r="F373" s="26" t="n">
        <v>2</v>
      </c>
      <c r="G373" s="20">
        <f>E373/F373</f>
        <v/>
      </c>
      <c r="H373" s="24">
        <f>(E364-G373)^2+(E365-G373)^2</f>
        <v/>
      </c>
    </row>
    <row r="374" outlineLevel="1">
      <c r="B374" s="17" t="inlineStr">
        <is>
          <t>Экран</t>
        </is>
      </c>
      <c r="C374" s="18" t="inlineStr">
        <is>
          <t>15"</t>
        </is>
      </c>
      <c r="D374" s="18" t="inlineStr">
        <is>
          <t>C, D</t>
        </is>
      </c>
      <c r="E374" s="24">
        <f>E366+E367</f>
        <v/>
      </c>
      <c r="F374" s="26" t="n">
        <v>2</v>
      </c>
      <c r="G374" s="20">
        <f>E374/F374</f>
        <v/>
      </c>
      <c r="H374" s="24">
        <f>(E366-G374)^2+(E367-G374)^2</f>
        <v/>
      </c>
    </row>
    <row r="375" outlineLevel="1">
      <c r="B375" s="17" t="inlineStr">
        <is>
          <t>SSD</t>
        </is>
      </c>
      <c r="C375" s="18" t="inlineStr">
        <is>
          <t>256 ГБ</t>
        </is>
      </c>
      <c r="D375" s="18" t="inlineStr">
        <is>
          <t>A, C</t>
        </is>
      </c>
      <c r="E375" s="24">
        <f>E364+E366</f>
        <v/>
      </c>
      <c r="F375" s="26" t="n">
        <v>2</v>
      </c>
      <c r="G375" s="20">
        <f>E375/F375</f>
        <v/>
      </c>
      <c r="H375" s="24">
        <f>(E364-G375)^2+(E366-G375)^2</f>
        <v/>
      </c>
    </row>
    <row r="376" outlineLevel="1">
      <c r="B376" s="17" t="inlineStr">
        <is>
          <t>SSD</t>
        </is>
      </c>
      <c r="C376" s="18" t="inlineStr">
        <is>
          <t>512 ГБ</t>
        </is>
      </c>
      <c r="D376" s="18" t="inlineStr">
        <is>
          <t>B, D</t>
        </is>
      </c>
      <c r="E376" s="24">
        <f>E365+E367</f>
        <v/>
      </c>
      <c r="F376" s="26" t="n">
        <v>2</v>
      </c>
      <c r="G376" s="20">
        <f>E376/F376</f>
        <v/>
      </c>
      <c r="H376" s="24">
        <f>(E365-G376)^2+(E367-G376)^2</f>
        <v/>
      </c>
    </row>
    <row r="377" outlineLevel="1"/>
    <row r="378" outlineLevel="1">
      <c r="B378" s="13" t="inlineStr">
        <is>
          <t>C. Выбор колонки: наименьшая оставшаяся сумма квадратов   (Теория, раздел 5)</t>
        </is>
      </c>
    </row>
    <row r="379" outlineLevel="1" ht="44" customHeight="1">
      <c r="B379" s="21">
        <f>"Складываем ошибку, оставшуюся в двух группах каждой колонки, и берём минимум. Экран: "&amp;TEXT(H373,"0.##")&amp;" + "&amp;TEXT(H374,"0.##")&amp;" = "&amp;TEXT(C381,"0.##")&amp;";  SSD: "&amp;TEXT(H375,"0.##")&amp;" + "&amp;TEXT(H376,"0.##")&amp;" = "&amp;TEXT(C382,"0.##")&amp;".  Меньше у: "&amp;$E$381&amp;IF(MIN(C381:C382)&gt;0," (у соседки в "&amp;TEXT(MAX(C381:C382)/MIN(C381:C382),"0.00")&amp;" раза больше)","")&amp;". Значит h_11 строится по этой колонке, и каждому объекту достаётся γ его группы."</f>
        <v/>
      </c>
    </row>
    <row r="380" outlineLevel="1" ht="30" customHeight="1">
      <c r="B380" s="16" t="inlineStr">
        <is>
          <t>Колонка j</t>
        </is>
      </c>
      <c r="C380" s="16" t="inlineStr">
        <is>
          <t>Остаётся Σ(rᵢ − γ)² по обеим группам</t>
        </is>
      </c>
      <c r="D380" s="16" t="inlineStr">
        <is>
          <t>Во сколько раз больше минимума</t>
        </is>
      </c>
      <c r="E380" s="16" t="inlineStr">
        <is>
          <t>Выбор j* = argmin</t>
        </is>
      </c>
    </row>
    <row r="381" outlineLevel="1">
      <c r="B381" s="17" t="inlineStr">
        <is>
          <t>Экран</t>
        </is>
      </c>
      <c r="C381" s="24">
        <f>H373+H374</f>
        <v/>
      </c>
      <c r="D381" s="27">
        <f>IF(MIN(C381:C382)=0,"—",C381/MIN(C381:C382))</f>
        <v/>
      </c>
      <c r="E381" s="28">
        <f>IF(C381&lt;=C382,"экран","SSD")</f>
        <v/>
      </c>
    </row>
    <row r="382" outlineLevel="1">
      <c r="B382" s="17" t="inlineStr">
        <is>
          <t>SSD</t>
        </is>
      </c>
      <c r="C382" s="24">
        <f>H375+H376</f>
        <v/>
      </c>
      <c r="D382" s="27">
        <f>IF(MIN(C381:C382)=0,"—",C382/MIN(C381:C382))</f>
        <v/>
      </c>
      <c r="E382" s="18" t="n"/>
    </row>
    <row r="383" outlineLevel="1"/>
    <row r="384" outlineLevel="1">
      <c r="B384" s="13" t="inlineStr">
        <is>
          <t>D. Обновление модели: F_11(xᵢ) = F_10(xᵢ) + ν·h_11(xᵢ)   (Теория, раздел 6)</t>
        </is>
      </c>
    </row>
    <row r="385" outlineLevel="1" ht="62" customHeight="1">
      <c r="B385" s="21">
        <f>"Прибавляем не всю поправку, а долю ν = "&amp;TEXT($D$8,"0.00")&amp;". A: F_11(A) = "&amp;TEXT(C387,"0.##")&amp;" + "&amp;TEXT($D$8,"0.00")&amp;" × ("&amp;TEXT(D387,"0.##")&amp;") = "&amp;TEXT(F387,"0.##")&amp;", остаток "&amp;TEXT(G387,"0.##")&amp;" − "&amp;TEXT(F387,"0.##")&amp;" = "&amp;TEXT(H387,"0.##")&amp;";  D: F_11(D) = "&amp;TEXT(C390,"0.##")&amp;" + "&amp;TEXT($D$8,"0.00")&amp;" × ("&amp;TEXT(D390,"0.##")&amp;") = "&amp;TEXT(F390,"0.##")&amp;", остаток "&amp;TEXT(H390,"0.##")&amp;". "&amp;"Итог: Σ|rᵢ| = "&amp;TEXT(I391,"0.##")&amp;" (было "&amp;TEXT(F368,"0.##")&amp;"), Σrᵢ² = "&amp;TEXT(J391,"0.##")&amp;" (было "&amp;TEXT(G368,"0.##")&amp;"). Невыученная часть вклада колонки «"&amp;$E$381&amp;"» умножилась на (1 − ν) = "&amp;TEXT(1-$D$8,"0.00")&amp;": из "&amp;TEXT(MAX(ABS(D387),ABS(D388)),"0.##")&amp;" осталось "&amp;TEXT(MAX(ABS(D387),ABS(D388))*(1-$D$8),"0.##")&amp;"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386" outlineLevel="1" ht="30" customHeight="1">
      <c r="B386" s="16" t="inlineStr">
        <is>
          <t>Ноутбук</t>
        </is>
      </c>
      <c r="C386" s="16" t="inlineStr">
        <is>
          <t>F_{10}(xᵢ)</t>
        </is>
      </c>
      <c r="D386" s="16" t="inlineStr">
        <is>
          <t>h_11(xᵢ) — поправка выбранной колонки</t>
        </is>
      </c>
      <c r="E386" s="16" t="inlineStr">
        <is>
          <t>ν·h_11(xᵢ)</t>
        </is>
      </c>
      <c r="F386" s="16" t="inlineStr">
        <is>
          <t>F_11(xᵢ) = F_{10} + ν·h_11</t>
        </is>
      </c>
      <c r="G386" s="16" t="inlineStr">
        <is>
          <t>yᵢ</t>
        </is>
      </c>
      <c r="H386" s="16" t="inlineStr">
        <is>
          <t>Новый остаток yᵢ − F_11(xᵢ)</t>
        </is>
      </c>
      <c r="I386" s="16" t="inlineStr">
        <is>
          <t>|остаток|</t>
        </is>
      </c>
      <c r="J386" s="16" t="inlineStr">
        <is>
          <t>остаток²</t>
        </is>
      </c>
    </row>
    <row r="387" outlineLevel="1">
      <c r="B387" s="17" t="inlineStr">
        <is>
          <t>A</t>
        </is>
      </c>
      <c r="C387" s="24">
        <f>F353</f>
        <v/>
      </c>
      <c r="D387" s="24">
        <f>IF($E$381="экран",G373,G375)</f>
        <v/>
      </c>
      <c r="E387" s="24">
        <f>$D$8*D387</f>
        <v/>
      </c>
      <c r="F387" s="20">
        <f>C387+E387</f>
        <v/>
      </c>
      <c r="G387" s="25">
        <f>$E$11</f>
        <v/>
      </c>
      <c r="H387" s="20">
        <f>G387-F387</f>
        <v/>
      </c>
      <c r="I387" s="24">
        <f>ABS(H387)</f>
        <v/>
      </c>
      <c r="J387" s="24">
        <f>H387^2</f>
        <v/>
      </c>
    </row>
    <row r="388" outlineLevel="1">
      <c r="B388" s="17" t="inlineStr">
        <is>
          <t>B</t>
        </is>
      </c>
      <c r="C388" s="24">
        <f>F354</f>
        <v/>
      </c>
      <c r="D388" s="24">
        <f>IF($E$381="экран",G373,G376)</f>
        <v/>
      </c>
      <c r="E388" s="24">
        <f>$D$8*D388</f>
        <v/>
      </c>
      <c r="F388" s="20">
        <f>C388+E388</f>
        <v/>
      </c>
      <c r="G388" s="25">
        <f>$E$12</f>
        <v/>
      </c>
      <c r="H388" s="20">
        <f>G388-F388</f>
        <v/>
      </c>
      <c r="I388" s="24">
        <f>ABS(H388)</f>
        <v/>
      </c>
      <c r="J388" s="24">
        <f>H388^2</f>
        <v/>
      </c>
    </row>
    <row r="389" outlineLevel="1">
      <c r="B389" s="17" t="inlineStr">
        <is>
          <t>C</t>
        </is>
      </c>
      <c r="C389" s="24">
        <f>F355</f>
        <v/>
      </c>
      <c r="D389" s="24">
        <f>IF($E$381="экран",G374,G375)</f>
        <v/>
      </c>
      <c r="E389" s="24">
        <f>$D$8*D389</f>
        <v/>
      </c>
      <c r="F389" s="20">
        <f>C389+E389</f>
        <v/>
      </c>
      <c r="G389" s="25">
        <f>$E$13</f>
        <v/>
      </c>
      <c r="H389" s="20">
        <f>G389-F389</f>
        <v/>
      </c>
      <c r="I389" s="24">
        <f>ABS(H389)</f>
        <v/>
      </c>
      <c r="J389" s="24">
        <f>H389^2</f>
        <v/>
      </c>
    </row>
    <row r="390" outlineLevel="1">
      <c r="B390" s="17" t="inlineStr">
        <is>
          <t>D</t>
        </is>
      </c>
      <c r="C390" s="24">
        <f>F356</f>
        <v/>
      </c>
      <c r="D390" s="24">
        <f>IF($E$381="экран",G374,G376)</f>
        <v/>
      </c>
      <c r="E390" s="24">
        <f>$D$8*D390</f>
        <v/>
      </c>
      <c r="F390" s="20">
        <f>C390+E390</f>
        <v/>
      </c>
      <c r="G390" s="25">
        <f>$E$14</f>
        <v/>
      </c>
      <c r="H390" s="20">
        <f>G390-F390</f>
        <v/>
      </c>
      <c r="I390" s="24">
        <f>ABS(H390)</f>
        <v/>
      </c>
      <c r="J390" s="24">
        <f>H390^2</f>
        <v/>
      </c>
    </row>
    <row r="391" outlineLevel="1">
      <c r="B391" s="13" t="inlineStr">
        <is>
          <t>Итого после шага:  Σ|rᵢ|  и  Σrᵢ²</t>
        </is>
      </c>
      <c r="I391" s="20">
        <f>SUM(I387:I390)</f>
        <v/>
      </c>
      <c r="J391" s="20">
        <f>SUM(J387:J390)</f>
        <v/>
      </c>
    </row>
    <row r="393" ht="22" customHeight="1">
      <c r="B393" s="22" t="inlineStr">
        <is>
          <t>Шаг 12:  F_12 = F_11 + ν·h_12</t>
        </is>
      </c>
    </row>
    <row r="394" outlineLevel="1">
      <c r="B394" s="23">
        <f>"Выбрана колонка: "&amp;$E$415&amp;"   ·   Σ|rᵢ|: "&amp;TEXT(F402,"0.##")&amp;" → "&amp;TEXT(I425,"0.##")&amp;"   ·   Σrᵢ²: "&amp;TEXT(G402,"0.##")&amp;" → "&amp;TEXT(J425,"0.##")</f>
        <v/>
      </c>
    </row>
    <row r="395" outlineLevel="1">
      <c r="B395" s="13" t="inlineStr">
        <is>
          <t>A. Остатки текущей модели F_11   (Теория, раздел 3)</t>
        </is>
      </c>
    </row>
    <row r="396" outlineLevel="1" ht="46" customHeight="1">
      <c r="B396" s="21">
        <f>"Остаток — антиградиент квадратичной потери: rᵢ = yᵢ − F_11(xᵢ) = −∂L/∂F — «что модель ещё не выучила». Для A: "&amp;TEXT(D398,"0.##")&amp;" − "&amp;TEXT(C398,"0.##")&amp;" = "&amp;TEXT(E398,"0.##")&amp;"; для B: "&amp;TEXT(D399,"0.##")&amp;" − "&amp;TEXT(C399,"0.##")&amp;" = "&amp;TEXT(E399,"0.##")&amp;"; для C: "&amp;TEXT(D400,"0.##")&amp;" − "&amp;TEXT(C400,"0.##")&amp;" = "&amp;TEXT(E400,"0.##")&amp;"; для D: "&amp;TEXT(D401,"0.##")&amp;" − "&amp;TEXT(C401,"0.##")&amp;" = "&amp;TEXT(E401,"0.##")&amp;". Минус — завысили, плюс — занизили. Σ|rᵢ| = "&amp;TEXT(F402,"0.##")&amp;", Σrᵢ² = "&amp;TEXT(G402,"0.##")&amp;"."</f>
        <v/>
      </c>
    </row>
    <row r="397" outlineLevel="1" ht="30" customHeight="1">
      <c r="B397" s="16" t="inlineStr">
        <is>
          <t>Ноутбук</t>
        </is>
      </c>
      <c r="C397" s="16" t="inlineStr">
        <is>
          <t>Старое предсказание F_11(xᵢ)</t>
        </is>
      </c>
      <c r="D397" s="16" t="inlineStr">
        <is>
          <t>Реальная yᵢ</t>
        </is>
      </c>
      <c r="E397" s="16" t="inlineStr">
        <is>
          <t>Остаток rᵢ = yᵢ − F_11(xᵢ)</t>
        </is>
      </c>
      <c r="F397" s="16" t="inlineStr">
        <is>
          <t>|rᵢ|</t>
        </is>
      </c>
    </row>
    <row r="398" outlineLevel="1">
      <c r="B398" s="17" t="inlineStr">
        <is>
          <t>A</t>
        </is>
      </c>
      <c r="C398" s="24">
        <f>F387</f>
        <v/>
      </c>
      <c r="D398" s="25">
        <f>$E$11</f>
        <v/>
      </c>
      <c r="E398" s="20">
        <f>D398-C398</f>
        <v/>
      </c>
      <c r="F398" s="24">
        <f>ABS(E398)</f>
        <v/>
      </c>
    </row>
    <row r="399" outlineLevel="1">
      <c r="B399" s="17" t="inlineStr">
        <is>
          <t>B</t>
        </is>
      </c>
      <c r="C399" s="24">
        <f>F388</f>
        <v/>
      </c>
      <c r="D399" s="25">
        <f>$E$12</f>
        <v/>
      </c>
      <c r="E399" s="20">
        <f>D399-C399</f>
        <v/>
      </c>
      <c r="F399" s="24">
        <f>ABS(E399)</f>
        <v/>
      </c>
    </row>
    <row r="400" outlineLevel="1">
      <c r="B400" s="17" t="inlineStr">
        <is>
          <t>C</t>
        </is>
      </c>
      <c r="C400" s="24">
        <f>F389</f>
        <v/>
      </c>
      <c r="D400" s="25">
        <f>$E$13</f>
        <v/>
      </c>
      <c r="E400" s="20">
        <f>D400-C400</f>
        <v/>
      </c>
      <c r="F400" s="24">
        <f>ABS(E400)</f>
        <v/>
      </c>
    </row>
    <row r="401" outlineLevel="1">
      <c r="B401" s="17" t="inlineStr">
        <is>
          <t>D</t>
        </is>
      </c>
      <c r="C401" s="24">
        <f>F390</f>
        <v/>
      </c>
      <c r="D401" s="25">
        <f>$E$14</f>
        <v/>
      </c>
      <c r="E401" s="20">
        <f>D401-C401</f>
        <v/>
      </c>
      <c r="F401" s="24">
        <f>ABS(E401)</f>
        <v/>
      </c>
    </row>
    <row r="402" outlineLevel="1">
      <c r="B402" s="13" t="inlineStr">
        <is>
          <t>Σ|rᵢ|  и  Σrᵢ²</t>
        </is>
      </c>
      <c r="F402" s="20">
        <f>SUM(F398:F401)</f>
        <v/>
      </c>
      <c r="G402" s="20">
        <f>SUMSQ(E398:E401)</f>
        <v/>
      </c>
    </row>
    <row r="403" outlineLevel="1"/>
    <row r="404" outlineLevel="1">
      <c r="B404" s="13" t="inlineStr">
        <is>
          <t>B. Группировка по колонкам и поправки групп   (Теория, раздел 4)</t>
        </is>
      </c>
    </row>
    <row r="405" outlineLevel="1" ht="58" customHeight="1">
      <c r="B405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("&amp;TEXT(E398,"0.##")&amp;" + "&amp;TEXT(E399,"0.##")&amp;") / 2 = "&amp;TEXT(G407,"0.##")&amp;", остаётся "&amp;TEXT(H407,"0.##")&amp;";  экран 15″ {C, D}: γ = "&amp;TEXT(G408,"0.##")&amp;", остаётся "&amp;TEXT(H408,"0.##")&amp;";  SSD 256 {A, C}: γ = ("&amp;TEXT(E398,"0.##")&amp;" + "&amp;TEXT(E400,"0.##")&amp;") / 2 = "&amp;TEXT(G409,"0.##")&amp;", остаётся "&amp;TEXT(H409,"0.##")&amp;";  SSD 512 {B, D}: γ = "&amp;TEXT(G410,"0.##")&amp;", остаётся "&amp;TEXT(H410,"0.##")&amp;"."</f>
        <v/>
      </c>
    </row>
    <row r="406" outlineLevel="1" ht="30" customHeight="1">
      <c r="B406" s="16" t="inlineStr">
        <is>
          <t>Колонка</t>
        </is>
      </c>
      <c r="C406" s="16" t="inlineStr">
        <is>
          <t>Группа G</t>
        </is>
      </c>
      <c r="D406" s="16" t="inlineStr">
        <is>
          <t>Состав</t>
        </is>
      </c>
      <c r="E406" s="16" t="inlineStr">
        <is>
          <t>Σ остатков группы</t>
        </is>
      </c>
      <c r="F406" s="16" t="inlineStr">
        <is>
          <t>|G|</t>
        </is>
      </c>
      <c r="G406" s="16" t="inlineStr">
        <is>
          <t>Поправка γ_G = Σrᵢ / |G|</t>
        </is>
      </c>
      <c r="H406" s="16" t="inlineStr">
        <is>
          <t>Остаётся Σ(rᵢ − γ_G)²</t>
        </is>
      </c>
    </row>
    <row r="407" outlineLevel="1">
      <c r="B407" s="17" t="inlineStr">
        <is>
          <t>Экран</t>
        </is>
      </c>
      <c r="C407" s="18" t="inlineStr">
        <is>
          <t>13"</t>
        </is>
      </c>
      <c r="D407" s="18" t="inlineStr">
        <is>
          <t>A, B</t>
        </is>
      </c>
      <c r="E407" s="24">
        <f>E398+E399</f>
        <v/>
      </c>
      <c r="F407" s="26" t="n">
        <v>2</v>
      </c>
      <c r="G407" s="20">
        <f>E407/F407</f>
        <v/>
      </c>
      <c r="H407" s="24">
        <f>(E398-G407)^2+(E399-G407)^2</f>
        <v/>
      </c>
    </row>
    <row r="408" outlineLevel="1">
      <c r="B408" s="17" t="inlineStr">
        <is>
          <t>Экран</t>
        </is>
      </c>
      <c r="C408" s="18" t="inlineStr">
        <is>
          <t>15"</t>
        </is>
      </c>
      <c r="D408" s="18" t="inlineStr">
        <is>
          <t>C, D</t>
        </is>
      </c>
      <c r="E408" s="24">
        <f>E400+E401</f>
        <v/>
      </c>
      <c r="F408" s="26" t="n">
        <v>2</v>
      </c>
      <c r="G408" s="20">
        <f>E408/F408</f>
        <v/>
      </c>
      <c r="H408" s="24">
        <f>(E400-G408)^2+(E401-G408)^2</f>
        <v/>
      </c>
    </row>
    <row r="409" outlineLevel="1">
      <c r="B409" s="17" t="inlineStr">
        <is>
          <t>SSD</t>
        </is>
      </c>
      <c r="C409" s="18" t="inlineStr">
        <is>
          <t>256 ГБ</t>
        </is>
      </c>
      <c r="D409" s="18" t="inlineStr">
        <is>
          <t>A, C</t>
        </is>
      </c>
      <c r="E409" s="24">
        <f>E398+E400</f>
        <v/>
      </c>
      <c r="F409" s="26" t="n">
        <v>2</v>
      </c>
      <c r="G409" s="20">
        <f>E409/F409</f>
        <v/>
      </c>
      <c r="H409" s="24">
        <f>(E398-G409)^2+(E400-G409)^2</f>
        <v/>
      </c>
    </row>
    <row r="410" outlineLevel="1">
      <c r="B410" s="17" t="inlineStr">
        <is>
          <t>SSD</t>
        </is>
      </c>
      <c r="C410" s="18" t="inlineStr">
        <is>
          <t>512 ГБ</t>
        </is>
      </c>
      <c r="D410" s="18" t="inlineStr">
        <is>
          <t>B, D</t>
        </is>
      </c>
      <c r="E410" s="24">
        <f>E399+E401</f>
        <v/>
      </c>
      <c r="F410" s="26" t="n">
        <v>2</v>
      </c>
      <c r="G410" s="20">
        <f>E410/F410</f>
        <v/>
      </c>
      <c r="H410" s="24">
        <f>(E399-G410)^2+(E401-G410)^2</f>
        <v/>
      </c>
    </row>
    <row r="411" outlineLevel="1"/>
    <row r="412" outlineLevel="1">
      <c r="B412" s="13" t="inlineStr">
        <is>
          <t>C. Выбор колонки: наименьшая оставшаяся сумма квадратов   (Теория, раздел 5)</t>
        </is>
      </c>
    </row>
    <row r="413" outlineLevel="1" ht="44" customHeight="1">
      <c r="B413" s="21">
        <f>"Складываем ошибку, оставшуюся в двух группах каждой колонки, и берём минимум. Экран: "&amp;TEXT(H407,"0.##")&amp;" + "&amp;TEXT(H408,"0.##")&amp;" = "&amp;TEXT(C415,"0.##")&amp;";  SSD: "&amp;TEXT(H409,"0.##")&amp;" + "&amp;TEXT(H410,"0.##")&amp;" = "&amp;TEXT(C416,"0.##")&amp;".  Меньше у: "&amp;$E$415&amp;IF(MIN(C415:C416)&gt;0," (у соседки в "&amp;TEXT(MAX(C415:C416)/MIN(C415:C416),"0.00")&amp;" раза больше)","")&amp;". Значит h_12 строится по этой колонке, и каждому объекту достаётся γ его группы."</f>
        <v/>
      </c>
    </row>
    <row r="414" outlineLevel="1" ht="30" customHeight="1">
      <c r="B414" s="16" t="inlineStr">
        <is>
          <t>Колонка j</t>
        </is>
      </c>
      <c r="C414" s="16" t="inlineStr">
        <is>
          <t>Остаётся Σ(rᵢ − γ)² по обеим группам</t>
        </is>
      </c>
      <c r="D414" s="16" t="inlineStr">
        <is>
          <t>Во сколько раз больше минимума</t>
        </is>
      </c>
      <c r="E414" s="16" t="inlineStr">
        <is>
          <t>Выбор j* = argmin</t>
        </is>
      </c>
    </row>
    <row r="415" outlineLevel="1">
      <c r="B415" s="17" t="inlineStr">
        <is>
          <t>Экран</t>
        </is>
      </c>
      <c r="C415" s="24">
        <f>H407+H408</f>
        <v/>
      </c>
      <c r="D415" s="27">
        <f>IF(MIN(C415:C416)=0,"—",C415/MIN(C415:C416))</f>
        <v/>
      </c>
      <c r="E415" s="28">
        <f>IF(C415&lt;=C416,"экран","SSD")</f>
        <v/>
      </c>
    </row>
    <row r="416" outlineLevel="1">
      <c r="B416" s="17" t="inlineStr">
        <is>
          <t>SSD</t>
        </is>
      </c>
      <c r="C416" s="24">
        <f>H409+H410</f>
        <v/>
      </c>
      <c r="D416" s="27">
        <f>IF(MIN(C415:C416)=0,"—",C416/MIN(C415:C416))</f>
        <v/>
      </c>
      <c r="E416" s="18" t="n"/>
    </row>
    <row r="417" outlineLevel="1"/>
    <row r="418" outlineLevel="1">
      <c r="B418" s="13" t="inlineStr">
        <is>
          <t>D. Обновление модели: F_12(xᵢ) = F_11(xᵢ) + ν·h_12(xᵢ)   (Теория, раздел 6)</t>
        </is>
      </c>
    </row>
    <row r="419" outlineLevel="1" ht="62" customHeight="1">
      <c r="B419" s="21">
        <f>"Прибавляем не всю поправку, а долю ν = "&amp;TEXT($D$8,"0.00")&amp;". A: F_12(A) = "&amp;TEXT(C421,"0.##")&amp;" + "&amp;TEXT($D$8,"0.00")&amp;" × ("&amp;TEXT(D421,"0.##")&amp;") = "&amp;TEXT(F421,"0.##")&amp;", остаток "&amp;TEXT(G421,"0.##")&amp;" − "&amp;TEXT(F421,"0.##")&amp;" = "&amp;TEXT(H421,"0.##")&amp;";  D: F_12(D) = "&amp;TEXT(C424,"0.##")&amp;" + "&amp;TEXT($D$8,"0.00")&amp;" × ("&amp;TEXT(D424,"0.##")&amp;") = "&amp;TEXT(F424,"0.##")&amp;", остаток "&amp;TEXT(H424,"0.##")&amp;". "&amp;"Итог: Σ|rᵢ| = "&amp;TEXT(I425,"0.##")&amp;" (было "&amp;TEXT(F402,"0.##")&amp;"), Σrᵢ² = "&amp;TEXT(J425,"0.##")&amp;" (было "&amp;TEXT(G402,"0.##")&amp;"). Невыученная часть вклада колонки «"&amp;$E$415&amp;"» умножилась на (1 − ν) = "&amp;TEXT(1-$D$8,"0.00")&amp;": из "&amp;TEXT(MAX(ABS(D421),ABS(D422)),"0.##")&amp;" осталось "&amp;TEXT(MAX(ABS(D421),ABS(D422))*(1-$D$8),"0.##")&amp;"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420" outlineLevel="1" ht="30" customHeight="1">
      <c r="B420" s="16" t="inlineStr">
        <is>
          <t>Ноутбук</t>
        </is>
      </c>
      <c r="C420" s="16" t="inlineStr">
        <is>
          <t>F_{11}(xᵢ)</t>
        </is>
      </c>
      <c r="D420" s="16" t="inlineStr">
        <is>
          <t>h_12(xᵢ) — поправка выбранной колонки</t>
        </is>
      </c>
      <c r="E420" s="16" t="inlineStr">
        <is>
          <t>ν·h_12(xᵢ)</t>
        </is>
      </c>
      <c r="F420" s="16" t="inlineStr">
        <is>
          <t>F_12(xᵢ) = F_{11} + ν·h_12</t>
        </is>
      </c>
      <c r="G420" s="16" t="inlineStr">
        <is>
          <t>yᵢ</t>
        </is>
      </c>
      <c r="H420" s="16" t="inlineStr">
        <is>
          <t>Новый остаток yᵢ − F_12(xᵢ)</t>
        </is>
      </c>
      <c r="I420" s="16" t="inlineStr">
        <is>
          <t>|остаток|</t>
        </is>
      </c>
      <c r="J420" s="16" t="inlineStr">
        <is>
          <t>остаток²</t>
        </is>
      </c>
    </row>
    <row r="421" outlineLevel="1">
      <c r="B421" s="17" t="inlineStr">
        <is>
          <t>A</t>
        </is>
      </c>
      <c r="C421" s="24">
        <f>F387</f>
        <v/>
      </c>
      <c r="D421" s="24">
        <f>IF($E$415="экран",G407,G409)</f>
        <v/>
      </c>
      <c r="E421" s="24">
        <f>$D$8*D421</f>
        <v/>
      </c>
      <c r="F421" s="20">
        <f>C421+E421</f>
        <v/>
      </c>
      <c r="G421" s="25">
        <f>$E$11</f>
        <v/>
      </c>
      <c r="H421" s="20">
        <f>G421-F421</f>
        <v/>
      </c>
      <c r="I421" s="24">
        <f>ABS(H421)</f>
        <v/>
      </c>
      <c r="J421" s="24">
        <f>H421^2</f>
        <v/>
      </c>
    </row>
    <row r="422" outlineLevel="1">
      <c r="B422" s="17" t="inlineStr">
        <is>
          <t>B</t>
        </is>
      </c>
      <c r="C422" s="24">
        <f>F388</f>
        <v/>
      </c>
      <c r="D422" s="24">
        <f>IF($E$415="экран",G407,G410)</f>
        <v/>
      </c>
      <c r="E422" s="24">
        <f>$D$8*D422</f>
        <v/>
      </c>
      <c r="F422" s="20">
        <f>C422+E422</f>
        <v/>
      </c>
      <c r="G422" s="25">
        <f>$E$12</f>
        <v/>
      </c>
      <c r="H422" s="20">
        <f>G422-F422</f>
        <v/>
      </c>
      <c r="I422" s="24">
        <f>ABS(H422)</f>
        <v/>
      </c>
      <c r="J422" s="24">
        <f>H422^2</f>
        <v/>
      </c>
    </row>
    <row r="423" outlineLevel="1">
      <c r="B423" s="17" t="inlineStr">
        <is>
          <t>C</t>
        </is>
      </c>
      <c r="C423" s="24">
        <f>F389</f>
        <v/>
      </c>
      <c r="D423" s="24">
        <f>IF($E$415="экран",G408,G409)</f>
        <v/>
      </c>
      <c r="E423" s="24">
        <f>$D$8*D423</f>
        <v/>
      </c>
      <c r="F423" s="20">
        <f>C423+E423</f>
        <v/>
      </c>
      <c r="G423" s="25">
        <f>$E$13</f>
        <v/>
      </c>
      <c r="H423" s="20">
        <f>G423-F423</f>
        <v/>
      </c>
      <c r="I423" s="24">
        <f>ABS(H423)</f>
        <v/>
      </c>
      <c r="J423" s="24">
        <f>H423^2</f>
        <v/>
      </c>
    </row>
    <row r="424" outlineLevel="1">
      <c r="B424" s="17" t="inlineStr">
        <is>
          <t>D</t>
        </is>
      </c>
      <c r="C424" s="24">
        <f>F390</f>
        <v/>
      </c>
      <c r="D424" s="24">
        <f>IF($E$415="экран",G408,G410)</f>
        <v/>
      </c>
      <c r="E424" s="24">
        <f>$D$8*D424</f>
        <v/>
      </c>
      <c r="F424" s="20">
        <f>C424+E424</f>
        <v/>
      </c>
      <c r="G424" s="25">
        <f>$E$14</f>
        <v/>
      </c>
      <c r="H424" s="20">
        <f>G424-F424</f>
        <v/>
      </c>
      <c r="I424" s="24">
        <f>ABS(H424)</f>
        <v/>
      </c>
      <c r="J424" s="24">
        <f>H424^2</f>
        <v/>
      </c>
    </row>
    <row r="425" outlineLevel="1">
      <c r="B425" s="13" t="inlineStr">
        <is>
          <t>Итого после шага:  Σ|rᵢ|  и  Σrᵢ²</t>
        </is>
      </c>
      <c r="I425" s="20">
        <f>SUM(I421:I424)</f>
        <v/>
      </c>
      <c r="J425" s="20">
        <f>SUM(J421:J424)</f>
        <v/>
      </c>
    </row>
    <row r="427" ht="22" customHeight="1">
      <c r="B427" s="22" t="inlineStr">
        <is>
          <t>Шаг 13:  F_13 = F_12 + ν·h_13</t>
        </is>
      </c>
    </row>
    <row r="428" outlineLevel="1">
      <c r="B428" s="23">
        <f>"Выбрана колонка: "&amp;$E$449&amp;"   ·   Σ|rᵢ|: "&amp;TEXT(F436,"0.##")&amp;" → "&amp;TEXT(I459,"0.##")&amp;"   ·   Σrᵢ²: "&amp;TEXT(G436,"0.##")&amp;" → "&amp;TEXT(J459,"0.##")</f>
        <v/>
      </c>
    </row>
    <row r="429" outlineLevel="1">
      <c r="B429" s="13" t="inlineStr">
        <is>
          <t>A. Остатки текущей модели F_12   (Теория, раздел 3)</t>
        </is>
      </c>
    </row>
    <row r="430" outlineLevel="1" ht="46" customHeight="1">
      <c r="B430" s="21">
        <f>"Остаток — антиградиент квадратичной потери: rᵢ = yᵢ − F_12(xᵢ) = −∂L/∂F — «что модель ещё не выучила». Для A: "&amp;TEXT(D432,"0.##")&amp;" − "&amp;TEXT(C432,"0.##")&amp;" = "&amp;TEXT(E432,"0.##")&amp;"; для B: "&amp;TEXT(D433,"0.##")&amp;" − "&amp;TEXT(C433,"0.##")&amp;" = "&amp;TEXT(E433,"0.##")&amp;"; для C: "&amp;TEXT(D434,"0.##")&amp;" − "&amp;TEXT(C434,"0.##")&amp;" = "&amp;TEXT(E434,"0.##")&amp;"; для D: "&amp;TEXT(D435,"0.##")&amp;" − "&amp;TEXT(C435,"0.##")&amp;" = "&amp;TEXT(E435,"0.##")&amp;". Минус — завысили, плюс — занизили. Σ|rᵢ| = "&amp;TEXT(F436,"0.##")&amp;", Σrᵢ² = "&amp;TEXT(G436,"0.##")&amp;"."</f>
        <v/>
      </c>
    </row>
    <row r="431" outlineLevel="1" ht="30" customHeight="1">
      <c r="B431" s="16" t="inlineStr">
        <is>
          <t>Ноутбук</t>
        </is>
      </c>
      <c r="C431" s="16" t="inlineStr">
        <is>
          <t>Старое предсказание F_12(xᵢ)</t>
        </is>
      </c>
      <c r="D431" s="16" t="inlineStr">
        <is>
          <t>Реальная yᵢ</t>
        </is>
      </c>
      <c r="E431" s="16" t="inlineStr">
        <is>
          <t>Остаток rᵢ = yᵢ − F_12(xᵢ)</t>
        </is>
      </c>
      <c r="F431" s="16" t="inlineStr">
        <is>
          <t>|rᵢ|</t>
        </is>
      </c>
    </row>
    <row r="432" outlineLevel="1">
      <c r="B432" s="17" t="inlineStr">
        <is>
          <t>A</t>
        </is>
      </c>
      <c r="C432" s="24">
        <f>F421</f>
        <v/>
      </c>
      <c r="D432" s="25">
        <f>$E$11</f>
        <v/>
      </c>
      <c r="E432" s="20">
        <f>D432-C432</f>
        <v/>
      </c>
      <c r="F432" s="24">
        <f>ABS(E432)</f>
        <v/>
      </c>
    </row>
    <row r="433" outlineLevel="1">
      <c r="B433" s="17" t="inlineStr">
        <is>
          <t>B</t>
        </is>
      </c>
      <c r="C433" s="24">
        <f>F422</f>
        <v/>
      </c>
      <c r="D433" s="25">
        <f>$E$12</f>
        <v/>
      </c>
      <c r="E433" s="20">
        <f>D433-C433</f>
        <v/>
      </c>
      <c r="F433" s="24">
        <f>ABS(E433)</f>
        <v/>
      </c>
    </row>
    <row r="434" outlineLevel="1">
      <c r="B434" s="17" t="inlineStr">
        <is>
          <t>C</t>
        </is>
      </c>
      <c r="C434" s="24">
        <f>F423</f>
        <v/>
      </c>
      <c r="D434" s="25">
        <f>$E$13</f>
        <v/>
      </c>
      <c r="E434" s="20">
        <f>D434-C434</f>
        <v/>
      </c>
      <c r="F434" s="24">
        <f>ABS(E434)</f>
        <v/>
      </c>
    </row>
    <row r="435" outlineLevel="1">
      <c r="B435" s="17" t="inlineStr">
        <is>
          <t>D</t>
        </is>
      </c>
      <c r="C435" s="24">
        <f>F424</f>
        <v/>
      </c>
      <c r="D435" s="25">
        <f>$E$14</f>
        <v/>
      </c>
      <c r="E435" s="20">
        <f>D435-C435</f>
        <v/>
      </c>
      <c r="F435" s="24">
        <f>ABS(E435)</f>
        <v/>
      </c>
    </row>
    <row r="436" outlineLevel="1">
      <c r="B436" s="13" t="inlineStr">
        <is>
          <t>Σ|rᵢ|  и  Σrᵢ²</t>
        </is>
      </c>
      <c r="F436" s="20">
        <f>SUM(F432:F435)</f>
        <v/>
      </c>
      <c r="G436" s="20">
        <f>SUMSQ(E432:E435)</f>
        <v/>
      </c>
    </row>
    <row r="437" outlineLevel="1"/>
    <row r="438" outlineLevel="1">
      <c r="B438" s="13" t="inlineStr">
        <is>
          <t>B. Группировка по колонкам и поправки групп   (Теория, раздел 4)</t>
        </is>
      </c>
    </row>
    <row r="439" outlineLevel="1" ht="58" customHeight="1">
      <c r="B439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("&amp;TEXT(E432,"0.##")&amp;" + "&amp;TEXT(E433,"0.##")&amp;") / 2 = "&amp;TEXT(G441,"0.##")&amp;", остаётся "&amp;TEXT(H441,"0.##")&amp;";  экран 15″ {C, D}: γ = "&amp;TEXT(G442,"0.##")&amp;", остаётся "&amp;TEXT(H442,"0.##")&amp;";  SSD 256 {A, C}: γ = ("&amp;TEXT(E432,"0.##")&amp;" + "&amp;TEXT(E434,"0.##")&amp;") / 2 = "&amp;TEXT(G443,"0.##")&amp;", остаётся "&amp;TEXT(H443,"0.##")&amp;";  SSD 512 {B, D}: γ = "&amp;TEXT(G444,"0.##")&amp;", остаётся "&amp;TEXT(H444,"0.##")&amp;"."</f>
        <v/>
      </c>
    </row>
    <row r="440" outlineLevel="1" ht="30" customHeight="1">
      <c r="B440" s="16" t="inlineStr">
        <is>
          <t>Колонка</t>
        </is>
      </c>
      <c r="C440" s="16" t="inlineStr">
        <is>
          <t>Группа G</t>
        </is>
      </c>
      <c r="D440" s="16" t="inlineStr">
        <is>
          <t>Состав</t>
        </is>
      </c>
      <c r="E440" s="16" t="inlineStr">
        <is>
          <t>Σ остатков группы</t>
        </is>
      </c>
      <c r="F440" s="16" t="inlineStr">
        <is>
          <t>|G|</t>
        </is>
      </c>
      <c r="G440" s="16" t="inlineStr">
        <is>
          <t>Поправка γ_G = Σrᵢ / |G|</t>
        </is>
      </c>
      <c r="H440" s="16" t="inlineStr">
        <is>
          <t>Остаётся Σ(rᵢ − γ_G)²</t>
        </is>
      </c>
    </row>
    <row r="441" outlineLevel="1">
      <c r="B441" s="17" t="inlineStr">
        <is>
          <t>Экран</t>
        </is>
      </c>
      <c r="C441" s="18" t="inlineStr">
        <is>
          <t>13"</t>
        </is>
      </c>
      <c r="D441" s="18" t="inlineStr">
        <is>
          <t>A, B</t>
        </is>
      </c>
      <c r="E441" s="24">
        <f>E432+E433</f>
        <v/>
      </c>
      <c r="F441" s="26" t="n">
        <v>2</v>
      </c>
      <c r="G441" s="20">
        <f>E441/F441</f>
        <v/>
      </c>
      <c r="H441" s="24">
        <f>(E432-G441)^2+(E433-G441)^2</f>
        <v/>
      </c>
    </row>
    <row r="442" outlineLevel="1">
      <c r="B442" s="17" t="inlineStr">
        <is>
          <t>Экран</t>
        </is>
      </c>
      <c r="C442" s="18" t="inlineStr">
        <is>
          <t>15"</t>
        </is>
      </c>
      <c r="D442" s="18" t="inlineStr">
        <is>
          <t>C, D</t>
        </is>
      </c>
      <c r="E442" s="24">
        <f>E434+E435</f>
        <v/>
      </c>
      <c r="F442" s="26" t="n">
        <v>2</v>
      </c>
      <c r="G442" s="20">
        <f>E442/F442</f>
        <v/>
      </c>
      <c r="H442" s="24">
        <f>(E434-G442)^2+(E435-G442)^2</f>
        <v/>
      </c>
    </row>
    <row r="443" outlineLevel="1">
      <c r="B443" s="17" t="inlineStr">
        <is>
          <t>SSD</t>
        </is>
      </c>
      <c r="C443" s="18" t="inlineStr">
        <is>
          <t>256 ГБ</t>
        </is>
      </c>
      <c r="D443" s="18" t="inlineStr">
        <is>
          <t>A, C</t>
        </is>
      </c>
      <c r="E443" s="24">
        <f>E432+E434</f>
        <v/>
      </c>
      <c r="F443" s="26" t="n">
        <v>2</v>
      </c>
      <c r="G443" s="20">
        <f>E443/F443</f>
        <v/>
      </c>
      <c r="H443" s="24">
        <f>(E432-G443)^2+(E434-G443)^2</f>
        <v/>
      </c>
    </row>
    <row r="444" outlineLevel="1">
      <c r="B444" s="17" t="inlineStr">
        <is>
          <t>SSD</t>
        </is>
      </c>
      <c r="C444" s="18" t="inlineStr">
        <is>
          <t>512 ГБ</t>
        </is>
      </c>
      <c r="D444" s="18" t="inlineStr">
        <is>
          <t>B, D</t>
        </is>
      </c>
      <c r="E444" s="24">
        <f>E433+E435</f>
        <v/>
      </c>
      <c r="F444" s="26" t="n">
        <v>2</v>
      </c>
      <c r="G444" s="20">
        <f>E444/F444</f>
        <v/>
      </c>
      <c r="H444" s="24">
        <f>(E433-G444)^2+(E435-G444)^2</f>
        <v/>
      </c>
    </row>
    <row r="445" outlineLevel="1"/>
    <row r="446" outlineLevel="1">
      <c r="B446" s="13" t="inlineStr">
        <is>
          <t>C. Выбор колонки: наименьшая оставшаяся сумма квадратов   (Теория, раздел 5)</t>
        </is>
      </c>
    </row>
    <row r="447" outlineLevel="1" ht="44" customHeight="1">
      <c r="B447" s="21">
        <f>"Складываем ошибку, оставшуюся в двух группах каждой колонки, и берём минимум. Экран: "&amp;TEXT(H441,"0.##")&amp;" + "&amp;TEXT(H442,"0.##")&amp;" = "&amp;TEXT(C449,"0.##")&amp;";  SSD: "&amp;TEXT(H443,"0.##")&amp;" + "&amp;TEXT(H444,"0.##")&amp;" = "&amp;TEXT(C450,"0.##")&amp;".  Меньше у: "&amp;$E$449&amp;IF(MIN(C449:C450)&gt;0," (у соседки в "&amp;TEXT(MAX(C449:C450)/MIN(C449:C450),"0.00")&amp;" раза больше)","")&amp;". Значит h_13 строится по этой колонке, и каждому объекту достаётся γ его группы."</f>
        <v/>
      </c>
    </row>
    <row r="448" outlineLevel="1" ht="30" customHeight="1">
      <c r="B448" s="16" t="inlineStr">
        <is>
          <t>Колонка j</t>
        </is>
      </c>
      <c r="C448" s="16" t="inlineStr">
        <is>
          <t>Остаётся Σ(rᵢ − γ)² по обеим группам</t>
        </is>
      </c>
      <c r="D448" s="16" t="inlineStr">
        <is>
          <t>Во сколько раз больше минимума</t>
        </is>
      </c>
      <c r="E448" s="16" t="inlineStr">
        <is>
          <t>Выбор j* = argmin</t>
        </is>
      </c>
    </row>
    <row r="449" outlineLevel="1">
      <c r="B449" s="17" t="inlineStr">
        <is>
          <t>Экран</t>
        </is>
      </c>
      <c r="C449" s="24">
        <f>H441+H442</f>
        <v/>
      </c>
      <c r="D449" s="27">
        <f>IF(MIN(C449:C450)=0,"—",C449/MIN(C449:C450))</f>
        <v/>
      </c>
      <c r="E449" s="28">
        <f>IF(C449&lt;=C450,"экран","SSD")</f>
        <v/>
      </c>
    </row>
    <row r="450" outlineLevel="1">
      <c r="B450" s="17" t="inlineStr">
        <is>
          <t>SSD</t>
        </is>
      </c>
      <c r="C450" s="24">
        <f>H443+H444</f>
        <v/>
      </c>
      <c r="D450" s="27">
        <f>IF(MIN(C449:C450)=0,"—",C450/MIN(C449:C450))</f>
        <v/>
      </c>
      <c r="E450" s="18" t="n"/>
    </row>
    <row r="451" outlineLevel="1"/>
    <row r="452" outlineLevel="1">
      <c r="B452" s="13" t="inlineStr">
        <is>
          <t>D. Обновление модели: F_13(xᵢ) = F_12(xᵢ) + ν·h_13(xᵢ)   (Теория, раздел 6)</t>
        </is>
      </c>
    </row>
    <row r="453" outlineLevel="1" ht="62" customHeight="1">
      <c r="B453" s="21">
        <f>"Прибавляем не всю поправку, а долю ν = "&amp;TEXT($D$8,"0.00")&amp;". A: F_13(A) = "&amp;TEXT(C455,"0.##")&amp;" + "&amp;TEXT($D$8,"0.00")&amp;" × ("&amp;TEXT(D455,"0.##")&amp;") = "&amp;TEXT(F455,"0.##")&amp;", остаток "&amp;TEXT(G455,"0.##")&amp;" − "&amp;TEXT(F455,"0.##")&amp;" = "&amp;TEXT(H455,"0.##")&amp;";  D: F_13(D) = "&amp;TEXT(C458,"0.##")&amp;" + "&amp;TEXT($D$8,"0.00")&amp;" × ("&amp;TEXT(D458,"0.##")&amp;") = "&amp;TEXT(F458,"0.##")&amp;", остаток "&amp;TEXT(H458,"0.##")&amp;". "&amp;"Итог: Σ|rᵢ| = "&amp;TEXT(I459,"0.##")&amp;" (было "&amp;TEXT(F436,"0.##")&amp;"), Σrᵢ² = "&amp;TEXT(J459,"0.##")&amp;" (было "&amp;TEXT(G436,"0.##")&amp;"). Невыученная часть вклада колонки «"&amp;$E$449&amp;"» умножилась на (1 − ν) = "&amp;TEXT(1-$D$8,"0.00")&amp;": из "&amp;TEXT(MAX(ABS(D455),ABS(D456)),"0.##")&amp;" осталось "&amp;TEXT(MAX(ABS(D455),ABS(D456))*(1-$D$8),"0.##")&amp;"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454" outlineLevel="1" ht="30" customHeight="1">
      <c r="B454" s="16" t="inlineStr">
        <is>
          <t>Ноутбук</t>
        </is>
      </c>
      <c r="C454" s="16" t="inlineStr">
        <is>
          <t>F_{12}(xᵢ)</t>
        </is>
      </c>
      <c r="D454" s="16" t="inlineStr">
        <is>
          <t>h_13(xᵢ) — поправка выбранной колонки</t>
        </is>
      </c>
      <c r="E454" s="16" t="inlineStr">
        <is>
          <t>ν·h_13(xᵢ)</t>
        </is>
      </c>
      <c r="F454" s="16" t="inlineStr">
        <is>
          <t>F_13(xᵢ) = F_{12} + ν·h_13</t>
        </is>
      </c>
      <c r="G454" s="16" t="inlineStr">
        <is>
          <t>yᵢ</t>
        </is>
      </c>
      <c r="H454" s="16" t="inlineStr">
        <is>
          <t>Новый остаток yᵢ − F_13(xᵢ)</t>
        </is>
      </c>
      <c r="I454" s="16" t="inlineStr">
        <is>
          <t>|остаток|</t>
        </is>
      </c>
      <c r="J454" s="16" t="inlineStr">
        <is>
          <t>остаток²</t>
        </is>
      </c>
    </row>
    <row r="455" outlineLevel="1">
      <c r="B455" s="17" t="inlineStr">
        <is>
          <t>A</t>
        </is>
      </c>
      <c r="C455" s="24">
        <f>F421</f>
        <v/>
      </c>
      <c r="D455" s="24">
        <f>IF($E$449="экран",G441,G443)</f>
        <v/>
      </c>
      <c r="E455" s="24">
        <f>$D$8*D455</f>
        <v/>
      </c>
      <c r="F455" s="20">
        <f>C455+E455</f>
        <v/>
      </c>
      <c r="G455" s="25">
        <f>$E$11</f>
        <v/>
      </c>
      <c r="H455" s="20">
        <f>G455-F455</f>
        <v/>
      </c>
      <c r="I455" s="24">
        <f>ABS(H455)</f>
        <v/>
      </c>
      <c r="J455" s="24">
        <f>H455^2</f>
        <v/>
      </c>
    </row>
    <row r="456" outlineLevel="1">
      <c r="B456" s="17" t="inlineStr">
        <is>
          <t>B</t>
        </is>
      </c>
      <c r="C456" s="24">
        <f>F422</f>
        <v/>
      </c>
      <c r="D456" s="24">
        <f>IF($E$449="экран",G441,G444)</f>
        <v/>
      </c>
      <c r="E456" s="24">
        <f>$D$8*D456</f>
        <v/>
      </c>
      <c r="F456" s="20">
        <f>C456+E456</f>
        <v/>
      </c>
      <c r="G456" s="25">
        <f>$E$12</f>
        <v/>
      </c>
      <c r="H456" s="20">
        <f>G456-F456</f>
        <v/>
      </c>
      <c r="I456" s="24">
        <f>ABS(H456)</f>
        <v/>
      </c>
      <c r="J456" s="24">
        <f>H456^2</f>
        <v/>
      </c>
    </row>
    <row r="457" outlineLevel="1">
      <c r="B457" s="17" t="inlineStr">
        <is>
          <t>C</t>
        </is>
      </c>
      <c r="C457" s="24">
        <f>F423</f>
        <v/>
      </c>
      <c r="D457" s="24">
        <f>IF($E$449="экран",G442,G443)</f>
        <v/>
      </c>
      <c r="E457" s="24">
        <f>$D$8*D457</f>
        <v/>
      </c>
      <c r="F457" s="20">
        <f>C457+E457</f>
        <v/>
      </c>
      <c r="G457" s="25">
        <f>$E$13</f>
        <v/>
      </c>
      <c r="H457" s="20">
        <f>G457-F457</f>
        <v/>
      </c>
      <c r="I457" s="24">
        <f>ABS(H457)</f>
        <v/>
      </c>
      <c r="J457" s="24">
        <f>H457^2</f>
        <v/>
      </c>
    </row>
    <row r="458" outlineLevel="1">
      <c r="B458" s="17" t="inlineStr">
        <is>
          <t>D</t>
        </is>
      </c>
      <c r="C458" s="24">
        <f>F424</f>
        <v/>
      </c>
      <c r="D458" s="24">
        <f>IF($E$449="экран",G442,G444)</f>
        <v/>
      </c>
      <c r="E458" s="24">
        <f>$D$8*D458</f>
        <v/>
      </c>
      <c r="F458" s="20">
        <f>C458+E458</f>
        <v/>
      </c>
      <c r="G458" s="25">
        <f>$E$14</f>
        <v/>
      </c>
      <c r="H458" s="20">
        <f>G458-F458</f>
        <v/>
      </c>
      <c r="I458" s="24">
        <f>ABS(H458)</f>
        <v/>
      </c>
      <c r="J458" s="24">
        <f>H458^2</f>
        <v/>
      </c>
    </row>
    <row r="459" outlineLevel="1">
      <c r="B459" s="13" t="inlineStr">
        <is>
          <t>Итого после шага:  Σ|rᵢ|  и  Σrᵢ²</t>
        </is>
      </c>
      <c r="I459" s="20">
        <f>SUM(I455:I458)</f>
        <v/>
      </c>
      <c r="J459" s="20">
        <f>SUM(J455:J458)</f>
        <v/>
      </c>
    </row>
    <row r="461" ht="22" customHeight="1">
      <c r="B461" s="22" t="inlineStr">
        <is>
          <t>Шаг 14:  F_14 = F_13 + ν·h_14</t>
        </is>
      </c>
    </row>
    <row r="462" outlineLevel="1">
      <c r="B462" s="23">
        <f>"Выбрана колонка: "&amp;$E$483&amp;"   ·   Σ|rᵢ|: "&amp;TEXT(F470,"0.##")&amp;" → "&amp;TEXT(I493,"0.##")&amp;"   ·   Σrᵢ²: "&amp;TEXT(G470,"0.##")&amp;" → "&amp;TEXT(J493,"0.##")</f>
        <v/>
      </c>
    </row>
    <row r="463" outlineLevel="1">
      <c r="B463" s="13" t="inlineStr">
        <is>
          <t>A. Остатки текущей модели F_13   (Теория, раздел 3)</t>
        </is>
      </c>
    </row>
    <row r="464" outlineLevel="1" ht="46" customHeight="1">
      <c r="B464" s="21">
        <f>"Остаток — антиградиент квадратичной потери: rᵢ = yᵢ − F_13(xᵢ) = −∂L/∂F — «что модель ещё не выучила». Для A: "&amp;TEXT(D466,"0.##")&amp;" − "&amp;TEXT(C466,"0.##")&amp;" = "&amp;TEXT(E466,"0.##")&amp;"; для B: "&amp;TEXT(D467,"0.##")&amp;" − "&amp;TEXT(C467,"0.##")&amp;" = "&amp;TEXT(E467,"0.##")&amp;"; для C: "&amp;TEXT(D468,"0.##")&amp;" − "&amp;TEXT(C468,"0.##")&amp;" = "&amp;TEXT(E468,"0.##")&amp;"; для D: "&amp;TEXT(D469,"0.##")&amp;" − "&amp;TEXT(C469,"0.##")&amp;" = "&amp;TEXT(E469,"0.##")&amp;". Минус — завысили, плюс — занизили. Σ|rᵢ| = "&amp;TEXT(F470,"0.##")&amp;", Σrᵢ² = "&amp;TEXT(G470,"0.##")&amp;"."</f>
        <v/>
      </c>
    </row>
    <row r="465" outlineLevel="1" ht="30" customHeight="1">
      <c r="B465" s="16" t="inlineStr">
        <is>
          <t>Ноутбук</t>
        </is>
      </c>
      <c r="C465" s="16" t="inlineStr">
        <is>
          <t>Старое предсказание F_13(xᵢ)</t>
        </is>
      </c>
      <c r="D465" s="16" t="inlineStr">
        <is>
          <t>Реальная yᵢ</t>
        </is>
      </c>
      <c r="E465" s="16" t="inlineStr">
        <is>
          <t>Остаток rᵢ = yᵢ − F_13(xᵢ)</t>
        </is>
      </c>
      <c r="F465" s="16" t="inlineStr">
        <is>
          <t>|rᵢ|</t>
        </is>
      </c>
    </row>
    <row r="466" outlineLevel="1">
      <c r="B466" s="17" t="inlineStr">
        <is>
          <t>A</t>
        </is>
      </c>
      <c r="C466" s="24">
        <f>F455</f>
        <v/>
      </c>
      <c r="D466" s="25">
        <f>$E$11</f>
        <v/>
      </c>
      <c r="E466" s="20">
        <f>D466-C466</f>
        <v/>
      </c>
      <c r="F466" s="24">
        <f>ABS(E466)</f>
        <v/>
      </c>
    </row>
    <row r="467" outlineLevel="1">
      <c r="B467" s="17" t="inlineStr">
        <is>
          <t>B</t>
        </is>
      </c>
      <c r="C467" s="24">
        <f>F456</f>
        <v/>
      </c>
      <c r="D467" s="25">
        <f>$E$12</f>
        <v/>
      </c>
      <c r="E467" s="20">
        <f>D467-C467</f>
        <v/>
      </c>
      <c r="F467" s="24">
        <f>ABS(E467)</f>
        <v/>
      </c>
    </row>
    <row r="468" outlineLevel="1">
      <c r="B468" s="17" t="inlineStr">
        <is>
          <t>C</t>
        </is>
      </c>
      <c r="C468" s="24">
        <f>F457</f>
        <v/>
      </c>
      <c r="D468" s="25">
        <f>$E$13</f>
        <v/>
      </c>
      <c r="E468" s="20">
        <f>D468-C468</f>
        <v/>
      </c>
      <c r="F468" s="24">
        <f>ABS(E468)</f>
        <v/>
      </c>
    </row>
    <row r="469" outlineLevel="1">
      <c r="B469" s="17" t="inlineStr">
        <is>
          <t>D</t>
        </is>
      </c>
      <c r="C469" s="24">
        <f>F458</f>
        <v/>
      </c>
      <c r="D469" s="25">
        <f>$E$14</f>
        <v/>
      </c>
      <c r="E469" s="20">
        <f>D469-C469</f>
        <v/>
      </c>
      <c r="F469" s="24">
        <f>ABS(E469)</f>
        <v/>
      </c>
    </row>
    <row r="470" outlineLevel="1">
      <c r="B470" s="13" t="inlineStr">
        <is>
          <t>Σ|rᵢ|  и  Σrᵢ²</t>
        </is>
      </c>
      <c r="F470" s="20">
        <f>SUM(F466:F469)</f>
        <v/>
      </c>
      <c r="G470" s="20">
        <f>SUMSQ(E466:E469)</f>
        <v/>
      </c>
    </row>
    <row r="471" outlineLevel="1"/>
    <row r="472" outlineLevel="1">
      <c r="B472" s="13" t="inlineStr">
        <is>
          <t>B. Группировка по колонкам и поправки групп   (Теория, раздел 4)</t>
        </is>
      </c>
    </row>
    <row r="473" outlineLevel="1" ht="58" customHeight="1">
      <c r="B473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("&amp;TEXT(E466,"0.##")&amp;" + "&amp;TEXT(E467,"0.##")&amp;") / 2 = "&amp;TEXT(G475,"0.##")&amp;", остаётся "&amp;TEXT(H475,"0.##")&amp;";  экран 15″ {C, D}: γ = "&amp;TEXT(G476,"0.##")&amp;", остаётся "&amp;TEXT(H476,"0.##")&amp;";  SSD 256 {A, C}: γ = ("&amp;TEXT(E466,"0.##")&amp;" + "&amp;TEXT(E468,"0.##")&amp;") / 2 = "&amp;TEXT(G477,"0.##")&amp;", остаётся "&amp;TEXT(H477,"0.##")&amp;";  SSD 512 {B, D}: γ = "&amp;TEXT(G478,"0.##")&amp;", остаётся "&amp;TEXT(H478,"0.##")&amp;"."</f>
        <v/>
      </c>
    </row>
    <row r="474" outlineLevel="1" ht="30" customHeight="1">
      <c r="B474" s="16" t="inlineStr">
        <is>
          <t>Колонка</t>
        </is>
      </c>
      <c r="C474" s="16" t="inlineStr">
        <is>
          <t>Группа G</t>
        </is>
      </c>
      <c r="D474" s="16" t="inlineStr">
        <is>
          <t>Состав</t>
        </is>
      </c>
      <c r="E474" s="16" t="inlineStr">
        <is>
          <t>Σ остатков группы</t>
        </is>
      </c>
      <c r="F474" s="16" t="inlineStr">
        <is>
          <t>|G|</t>
        </is>
      </c>
      <c r="G474" s="16" t="inlineStr">
        <is>
          <t>Поправка γ_G = Σrᵢ / |G|</t>
        </is>
      </c>
      <c r="H474" s="16" t="inlineStr">
        <is>
          <t>Остаётся Σ(rᵢ − γ_G)²</t>
        </is>
      </c>
    </row>
    <row r="475" outlineLevel="1">
      <c r="B475" s="17" t="inlineStr">
        <is>
          <t>Экран</t>
        </is>
      </c>
      <c r="C475" s="18" t="inlineStr">
        <is>
          <t>13"</t>
        </is>
      </c>
      <c r="D475" s="18" t="inlineStr">
        <is>
          <t>A, B</t>
        </is>
      </c>
      <c r="E475" s="24">
        <f>E466+E467</f>
        <v/>
      </c>
      <c r="F475" s="26" t="n">
        <v>2</v>
      </c>
      <c r="G475" s="20">
        <f>E475/F475</f>
        <v/>
      </c>
      <c r="H475" s="24">
        <f>(E466-G475)^2+(E467-G475)^2</f>
        <v/>
      </c>
    </row>
    <row r="476" outlineLevel="1">
      <c r="B476" s="17" t="inlineStr">
        <is>
          <t>Экран</t>
        </is>
      </c>
      <c r="C476" s="18" t="inlineStr">
        <is>
          <t>15"</t>
        </is>
      </c>
      <c r="D476" s="18" t="inlineStr">
        <is>
          <t>C, D</t>
        </is>
      </c>
      <c r="E476" s="24">
        <f>E468+E469</f>
        <v/>
      </c>
      <c r="F476" s="26" t="n">
        <v>2</v>
      </c>
      <c r="G476" s="20">
        <f>E476/F476</f>
        <v/>
      </c>
      <c r="H476" s="24">
        <f>(E468-G476)^2+(E469-G476)^2</f>
        <v/>
      </c>
    </row>
    <row r="477" outlineLevel="1">
      <c r="B477" s="17" t="inlineStr">
        <is>
          <t>SSD</t>
        </is>
      </c>
      <c r="C477" s="18" t="inlineStr">
        <is>
          <t>256 ГБ</t>
        </is>
      </c>
      <c r="D477" s="18" t="inlineStr">
        <is>
          <t>A, C</t>
        </is>
      </c>
      <c r="E477" s="24">
        <f>E466+E468</f>
        <v/>
      </c>
      <c r="F477" s="26" t="n">
        <v>2</v>
      </c>
      <c r="G477" s="20">
        <f>E477/F477</f>
        <v/>
      </c>
      <c r="H477" s="24">
        <f>(E466-G477)^2+(E468-G477)^2</f>
        <v/>
      </c>
    </row>
    <row r="478" outlineLevel="1">
      <c r="B478" s="17" t="inlineStr">
        <is>
          <t>SSD</t>
        </is>
      </c>
      <c r="C478" s="18" t="inlineStr">
        <is>
          <t>512 ГБ</t>
        </is>
      </c>
      <c r="D478" s="18" t="inlineStr">
        <is>
          <t>B, D</t>
        </is>
      </c>
      <c r="E478" s="24">
        <f>E467+E469</f>
        <v/>
      </c>
      <c r="F478" s="26" t="n">
        <v>2</v>
      </c>
      <c r="G478" s="20">
        <f>E478/F478</f>
        <v/>
      </c>
      <c r="H478" s="24">
        <f>(E467-G478)^2+(E469-G478)^2</f>
        <v/>
      </c>
    </row>
    <row r="479" outlineLevel="1"/>
    <row r="480" outlineLevel="1">
      <c r="B480" s="13" t="inlineStr">
        <is>
          <t>C. Выбор колонки: наименьшая оставшаяся сумма квадратов   (Теория, раздел 5)</t>
        </is>
      </c>
    </row>
    <row r="481" outlineLevel="1" ht="44" customHeight="1">
      <c r="B481" s="21">
        <f>"Складываем ошибку, оставшуюся в двух группах каждой колонки, и берём минимум. Экран: "&amp;TEXT(H475,"0.##")&amp;" + "&amp;TEXT(H476,"0.##")&amp;" = "&amp;TEXT(C483,"0.##")&amp;";  SSD: "&amp;TEXT(H477,"0.##")&amp;" + "&amp;TEXT(H478,"0.##")&amp;" = "&amp;TEXT(C484,"0.##")&amp;".  Меньше у: "&amp;$E$483&amp;IF(MIN(C483:C484)&gt;0," (у соседки в "&amp;TEXT(MAX(C483:C484)/MIN(C483:C484),"0.00")&amp;" раза больше)","")&amp;". Значит h_14 строится по этой колонке, и каждому объекту достаётся γ его группы."</f>
        <v/>
      </c>
    </row>
    <row r="482" outlineLevel="1" ht="30" customHeight="1">
      <c r="B482" s="16" t="inlineStr">
        <is>
          <t>Колонка j</t>
        </is>
      </c>
      <c r="C482" s="16" t="inlineStr">
        <is>
          <t>Остаётся Σ(rᵢ − γ)² по обеим группам</t>
        </is>
      </c>
      <c r="D482" s="16" t="inlineStr">
        <is>
          <t>Во сколько раз больше минимума</t>
        </is>
      </c>
      <c r="E482" s="16" t="inlineStr">
        <is>
          <t>Выбор j* = argmin</t>
        </is>
      </c>
    </row>
    <row r="483" outlineLevel="1">
      <c r="B483" s="17" t="inlineStr">
        <is>
          <t>Экран</t>
        </is>
      </c>
      <c r="C483" s="24">
        <f>H475+H476</f>
        <v/>
      </c>
      <c r="D483" s="27">
        <f>IF(MIN(C483:C484)=0,"—",C483/MIN(C483:C484))</f>
        <v/>
      </c>
      <c r="E483" s="28">
        <f>IF(C483&lt;=C484,"экран","SSD")</f>
        <v/>
      </c>
    </row>
    <row r="484" outlineLevel="1">
      <c r="B484" s="17" t="inlineStr">
        <is>
          <t>SSD</t>
        </is>
      </c>
      <c r="C484" s="24">
        <f>H477+H478</f>
        <v/>
      </c>
      <c r="D484" s="27">
        <f>IF(MIN(C483:C484)=0,"—",C484/MIN(C483:C484))</f>
        <v/>
      </c>
      <c r="E484" s="18" t="n"/>
    </row>
    <row r="485" outlineLevel="1"/>
    <row r="486" outlineLevel="1">
      <c r="B486" s="13" t="inlineStr">
        <is>
          <t>D. Обновление модели: F_14(xᵢ) = F_13(xᵢ) + ν·h_14(xᵢ)   (Теория, раздел 6)</t>
        </is>
      </c>
    </row>
    <row r="487" outlineLevel="1" ht="62" customHeight="1">
      <c r="B487" s="21">
        <f>"Прибавляем не всю поправку, а долю ν = "&amp;TEXT($D$8,"0.00")&amp;". A: F_14(A) = "&amp;TEXT(C489,"0.##")&amp;" + "&amp;TEXT($D$8,"0.00")&amp;" × ("&amp;TEXT(D489,"0.##")&amp;") = "&amp;TEXT(F489,"0.##")&amp;", остаток "&amp;TEXT(G489,"0.##")&amp;" − "&amp;TEXT(F489,"0.##")&amp;" = "&amp;TEXT(H489,"0.##")&amp;";  D: F_14(D) = "&amp;TEXT(C492,"0.##")&amp;" + "&amp;TEXT($D$8,"0.00")&amp;" × ("&amp;TEXT(D492,"0.##")&amp;") = "&amp;TEXT(F492,"0.##")&amp;", остаток "&amp;TEXT(H492,"0.##")&amp;". "&amp;"Итог: Σ|rᵢ| = "&amp;TEXT(I493,"0.##")&amp;" (было "&amp;TEXT(F470,"0.##")&amp;"), Σrᵢ² = "&amp;TEXT(J493,"0.##")&amp;" (было "&amp;TEXT(G470,"0.##")&amp;"). Невыученная часть вклада колонки «"&amp;$E$483&amp;"» умножилась на (1 − ν) = "&amp;TEXT(1-$D$8,"0.00")&amp;": из "&amp;TEXT(MAX(ABS(D489),ABS(D490)),"0.##")&amp;" осталось "&amp;TEXT(MAX(ABS(D489),ABS(D490))*(1-$D$8),"0.##")&amp;"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488" outlineLevel="1" ht="30" customHeight="1">
      <c r="B488" s="16" t="inlineStr">
        <is>
          <t>Ноутбук</t>
        </is>
      </c>
      <c r="C488" s="16" t="inlineStr">
        <is>
          <t>F_{13}(xᵢ)</t>
        </is>
      </c>
      <c r="D488" s="16" t="inlineStr">
        <is>
          <t>h_14(xᵢ) — поправка выбранной колонки</t>
        </is>
      </c>
      <c r="E488" s="16" t="inlineStr">
        <is>
          <t>ν·h_14(xᵢ)</t>
        </is>
      </c>
      <c r="F488" s="16" t="inlineStr">
        <is>
          <t>F_14(xᵢ) = F_{13} + ν·h_14</t>
        </is>
      </c>
      <c r="G488" s="16" t="inlineStr">
        <is>
          <t>yᵢ</t>
        </is>
      </c>
      <c r="H488" s="16" t="inlineStr">
        <is>
          <t>Новый остаток yᵢ − F_14(xᵢ)</t>
        </is>
      </c>
      <c r="I488" s="16" t="inlineStr">
        <is>
          <t>|остаток|</t>
        </is>
      </c>
      <c r="J488" s="16" t="inlineStr">
        <is>
          <t>остаток²</t>
        </is>
      </c>
    </row>
    <row r="489" outlineLevel="1">
      <c r="B489" s="17" t="inlineStr">
        <is>
          <t>A</t>
        </is>
      </c>
      <c r="C489" s="24">
        <f>F455</f>
        <v/>
      </c>
      <c r="D489" s="24">
        <f>IF($E$483="экран",G475,G477)</f>
        <v/>
      </c>
      <c r="E489" s="24">
        <f>$D$8*D489</f>
        <v/>
      </c>
      <c r="F489" s="20">
        <f>C489+E489</f>
        <v/>
      </c>
      <c r="G489" s="25">
        <f>$E$11</f>
        <v/>
      </c>
      <c r="H489" s="20">
        <f>G489-F489</f>
        <v/>
      </c>
      <c r="I489" s="24">
        <f>ABS(H489)</f>
        <v/>
      </c>
      <c r="J489" s="24">
        <f>H489^2</f>
        <v/>
      </c>
    </row>
    <row r="490" outlineLevel="1">
      <c r="B490" s="17" t="inlineStr">
        <is>
          <t>B</t>
        </is>
      </c>
      <c r="C490" s="24">
        <f>F456</f>
        <v/>
      </c>
      <c r="D490" s="24">
        <f>IF($E$483="экран",G475,G478)</f>
        <v/>
      </c>
      <c r="E490" s="24">
        <f>$D$8*D490</f>
        <v/>
      </c>
      <c r="F490" s="20">
        <f>C490+E490</f>
        <v/>
      </c>
      <c r="G490" s="25">
        <f>$E$12</f>
        <v/>
      </c>
      <c r="H490" s="20">
        <f>G490-F490</f>
        <v/>
      </c>
      <c r="I490" s="24">
        <f>ABS(H490)</f>
        <v/>
      </c>
      <c r="J490" s="24">
        <f>H490^2</f>
        <v/>
      </c>
    </row>
    <row r="491" outlineLevel="1">
      <c r="B491" s="17" t="inlineStr">
        <is>
          <t>C</t>
        </is>
      </c>
      <c r="C491" s="24">
        <f>F457</f>
        <v/>
      </c>
      <c r="D491" s="24">
        <f>IF($E$483="экран",G476,G477)</f>
        <v/>
      </c>
      <c r="E491" s="24">
        <f>$D$8*D491</f>
        <v/>
      </c>
      <c r="F491" s="20">
        <f>C491+E491</f>
        <v/>
      </c>
      <c r="G491" s="25">
        <f>$E$13</f>
        <v/>
      </c>
      <c r="H491" s="20">
        <f>G491-F491</f>
        <v/>
      </c>
      <c r="I491" s="24">
        <f>ABS(H491)</f>
        <v/>
      </c>
      <c r="J491" s="24">
        <f>H491^2</f>
        <v/>
      </c>
    </row>
    <row r="492" outlineLevel="1">
      <c r="B492" s="17" t="inlineStr">
        <is>
          <t>D</t>
        </is>
      </c>
      <c r="C492" s="24">
        <f>F458</f>
        <v/>
      </c>
      <c r="D492" s="24">
        <f>IF($E$483="экран",G476,G478)</f>
        <v/>
      </c>
      <c r="E492" s="24">
        <f>$D$8*D492</f>
        <v/>
      </c>
      <c r="F492" s="20">
        <f>C492+E492</f>
        <v/>
      </c>
      <c r="G492" s="25">
        <f>$E$14</f>
        <v/>
      </c>
      <c r="H492" s="20">
        <f>G492-F492</f>
        <v/>
      </c>
      <c r="I492" s="24">
        <f>ABS(H492)</f>
        <v/>
      </c>
      <c r="J492" s="24">
        <f>H492^2</f>
        <v/>
      </c>
    </row>
    <row r="493" outlineLevel="1">
      <c r="B493" s="13" t="inlineStr">
        <is>
          <t>Итого после шага:  Σ|rᵢ|  и  Σrᵢ²</t>
        </is>
      </c>
      <c r="I493" s="20">
        <f>SUM(I489:I492)</f>
        <v/>
      </c>
      <c r="J493" s="20">
        <f>SUM(J489:J492)</f>
        <v/>
      </c>
    </row>
    <row r="495" ht="22" customHeight="1">
      <c r="B495" s="22" t="inlineStr">
        <is>
          <t>Шаг 15:  F_15 = F_14 + ν·h_15</t>
        </is>
      </c>
    </row>
    <row r="496" outlineLevel="1">
      <c r="B496" s="23">
        <f>"Выбрана колонка: "&amp;$E$517&amp;"   ·   Σ|rᵢ|: "&amp;TEXT(F504,"0.##")&amp;" → "&amp;TEXT(I527,"0.##")&amp;"   ·   Σrᵢ²: "&amp;TEXT(G504,"0.##")&amp;" → "&amp;TEXT(J527,"0.##")</f>
        <v/>
      </c>
    </row>
    <row r="497" outlineLevel="1">
      <c r="B497" s="13" t="inlineStr">
        <is>
          <t>A. Остатки текущей модели F_14   (Теория, раздел 3)</t>
        </is>
      </c>
    </row>
    <row r="498" outlineLevel="1" ht="46" customHeight="1">
      <c r="B498" s="21">
        <f>"Остаток — антиградиент квадратичной потери: rᵢ = yᵢ − F_14(xᵢ) = −∂L/∂F — «что модель ещё не выучила». Для A: "&amp;TEXT(D500,"0.##")&amp;" − "&amp;TEXT(C500,"0.##")&amp;" = "&amp;TEXT(E500,"0.##")&amp;"; для B: "&amp;TEXT(D501,"0.##")&amp;" − "&amp;TEXT(C501,"0.##")&amp;" = "&amp;TEXT(E501,"0.##")&amp;"; для C: "&amp;TEXT(D502,"0.##")&amp;" − "&amp;TEXT(C502,"0.##")&amp;" = "&amp;TEXT(E502,"0.##")&amp;"; для D: "&amp;TEXT(D503,"0.##")&amp;" − "&amp;TEXT(C503,"0.##")&amp;" = "&amp;TEXT(E503,"0.##")&amp;". Минус — завысили, плюс — занизили. Σ|rᵢ| = "&amp;TEXT(F504,"0.##")&amp;", Σrᵢ² = "&amp;TEXT(G504,"0.##")&amp;"."</f>
        <v/>
      </c>
    </row>
    <row r="499" outlineLevel="1" ht="30" customHeight="1">
      <c r="B499" s="16" t="inlineStr">
        <is>
          <t>Ноутбук</t>
        </is>
      </c>
      <c r="C499" s="16" t="inlineStr">
        <is>
          <t>Старое предсказание F_14(xᵢ)</t>
        </is>
      </c>
      <c r="D499" s="16" t="inlineStr">
        <is>
          <t>Реальная yᵢ</t>
        </is>
      </c>
      <c r="E499" s="16" t="inlineStr">
        <is>
          <t>Остаток rᵢ = yᵢ − F_14(xᵢ)</t>
        </is>
      </c>
      <c r="F499" s="16" t="inlineStr">
        <is>
          <t>|rᵢ|</t>
        </is>
      </c>
    </row>
    <row r="500" outlineLevel="1">
      <c r="B500" s="17" t="inlineStr">
        <is>
          <t>A</t>
        </is>
      </c>
      <c r="C500" s="24">
        <f>F489</f>
        <v/>
      </c>
      <c r="D500" s="25">
        <f>$E$11</f>
        <v/>
      </c>
      <c r="E500" s="20">
        <f>D500-C500</f>
        <v/>
      </c>
      <c r="F500" s="24">
        <f>ABS(E500)</f>
        <v/>
      </c>
    </row>
    <row r="501" outlineLevel="1">
      <c r="B501" s="17" t="inlineStr">
        <is>
          <t>B</t>
        </is>
      </c>
      <c r="C501" s="24">
        <f>F490</f>
        <v/>
      </c>
      <c r="D501" s="25">
        <f>$E$12</f>
        <v/>
      </c>
      <c r="E501" s="20">
        <f>D501-C501</f>
        <v/>
      </c>
      <c r="F501" s="24">
        <f>ABS(E501)</f>
        <v/>
      </c>
    </row>
    <row r="502" outlineLevel="1">
      <c r="B502" s="17" t="inlineStr">
        <is>
          <t>C</t>
        </is>
      </c>
      <c r="C502" s="24">
        <f>F491</f>
        <v/>
      </c>
      <c r="D502" s="25">
        <f>$E$13</f>
        <v/>
      </c>
      <c r="E502" s="20">
        <f>D502-C502</f>
        <v/>
      </c>
      <c r="F502" s="24">
        <f>ABS(E502)</f>
        <v/>
      </c>
    </row>
    <row r="503" outlineLevel="1">
      <c r="B503" s="17" t="inlineStr">
        <is>
          <t>D</t>
        </is>
      </c>
      <c r="C503" s="24">
        <f>F492</f>
        <v/>
      </c>
      <c r="D503" s="25">
        <f>$E$14</f>
        <v/>
      </c>
      <c r="E503" s="20">
        <f>D503-C503</f>
        <v/>
      </c>
      <c r="F503" s="24">
        <f>ABS(E503)</f>
        <v/>
      </c>
    </row>
    <row r="504" outlineLevel="1">
      <c r="B504" s="13" t="inlineStr">
        <is>
          <t>Σ|rᵢ|  и  Σrᵢ²</t>
        </is>
      </c>
      <c r="F504" s="20">
        <f>SUM(F500:F503)</f>
        <v/>
      </c>
      <c r="G504" s="20">
        <f>SUMSQ(E500:E503)</f>
        <v/>
      </c>
    </row>
    <row r="505" outlineLevel="1"/>
    <row r="506" outlineLevel="1">
      <c r="B506" s="13" t="inlineStr">
        <is>
          <t>B. Группировка по колонкам и поправки групп   (Теория, раздел 4)</t>
        </is>
      </c>
    </row>
    <row r="507" outlineLevel="1" ht="58" customHeight="1">
      <c r="B507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("&amp;TEXT(E500,"0.##")&amp;" + "&amp;TEXT(E501,"0.##")&amp;") / 2 = "&amp;TEXT(G509,"0.##")&amp;", остаётся "&amp;TEXT(H509,"0.##")&amp;";  экран 15″ {C, D}: γ = "&amp;TEXT(G510,"0.##")&amp;", остаётся "&amp;TEXT(H510,"0.##")&amp;";  SSD 256 {A, C}: γ = ("&amp;TEXT(E500,"0.##")&amp;" + "&amp;TEXT(E502,"0.##")&amp;") / 2 = "&amp;TEXT(G511,"0.##")&amp;", остаётся "&amp;TEXT(H511,"0.##")&amp;";  SSD 512 {B, D}: γ = "&amp;TEXT(G512,"0.##")&amp;", остаётся "&amp;TEXT(H512,"0.##")&amp;"."</f>
        <v/>
      </c>
    </row>
    <row r="508" outlineLevel="1" ht="30" customHeight="1">
      <c r="B508" s="16" t="inlineStr">
        <is>
          <t>Колонка</t>
        </is>
      </c>
      <c r="C508" s="16" t="inlineStr">
        <is>
          <t>Группа G</t>
        </is>
      </c>
      <c r="D508" s="16" t="inlineStr">
        <is>
          <t>Состав</t>
        </is>
      </c>
      <c r="E508" s="16" t="inlineStr">
        <is>
          <t>Σ остатков группы</t>
        </is>
      </c>
      <c r="F508" s="16" t="inlineStr">
        <is>
          <t>|G|</t>
        </is>
      </c>
      <c r="G508" s="16" t="inlineStr">
        <is>
          <t>Поправка γ_G = Σrᵢ / |G|</t>
        </is>
      </c>
      <c r="H508" s="16" t="inlineStr">
        <is>
          <t>Остаётся Σ(rᵢ − γ_G)²</t>
        </is>
      </c>
    </row>
    <row r="509" outlineLevel="1">
      <c r="B509" s="17" t="inlineStr">
        <is>
          <t>Экран</t>
        </is>
      </c>
      <c r="C509" s="18" t="inlineStr">
        <is>
          <t>13"</t>
        </is>
      </c>
      <c r="D509" s="18" t="inlineStr">
        <is>
          <t>A, B</t>
        </is>
      </c>
      <c r="E509" s="24">
        <f>E500+E501</f>
        <v/>
      </c>
      <c r="F509" s="26" t="n">
        <v>2</v>
      </c>
      <c r="G509" s="20">
        <f>E509/F509</f>
        <v/>
      </c>
      <c r="H509" s="24">
        <f>(E500-G509)^2+(E501-G509)^2</f>
        <v/>
      </c>
    </row>
    <row r="510" outlineLevel="1">
      <c r="B510" s="17" t="inlineStr">
        <is>
          <t>Экран</t>
        </is>
      </c>
      <c r="C510" s="18" t="inlineStr">
        <is>
          <t>15"</t>
        </is>
      </c>
      <c r="D510" s="18" t="inlineStr">
        <is>
          <t>C, D</t>
        </is>
      </c>
      <c r="E510" s="24">
        <f>E502+E503</f>
        <v/>
      </c>
      <c r="F510" s="26" t="n">
        <v>2</v>
      </c>
      <c r="G510" s="20">
        <f>E510/F510</f>
        <v/>
      </c>
      <c r="H510" s="24">
        <f>(E502-G510)^2+(E503-G510)^2</f>
        <v/>
      </c>
    </row>
    <row r="511" outlineLevel="1">
      <c r="B511" s="17" t="inlineStr">
        <is>
          <t>SSD</t>
        </is>
      </c>
      <c r="C511" s="18" t="inlineStr">
        <is>
          <t>256 ГБ</t>
        </is>
      </c>
      <c r="D511" s="18" t="inlineStr">
        <is>
          <t>A, C</t>
        </is>
      </c>
      <c r="E511" s="24">
        <f>E500+E502</f>
        <v/>
      </c>
      <c r="F511" s="26" t="n">
        <v>2</v>
      </c>
      <c r="G511" s="20">
        <f>E511/F511</f>
        <v/>
      </c>
      <c r="H511" s="24">
        <f>(E500-G511)^2+(E502-G511)^2</f>
        <v/>
      </c>
    </row>
    <row r="512" outlineLevel="1">
      <c r="B512" s="17" t="inlineStr">
        <is>
          <t>SSD</t>
        </is>
      </c>
      <c r="C512" s="18" t="inlineStr">
        <is>
          <t>512 ГБ</t>
        </is>
      </c>
      <c r="D512" s="18" t="inlineStr">
        <is>
          <t>B, D</t>
        </is>
      </c>
      <c r="E512" s="24">
        <f>E501+E503</f>
        <v/>
      </c>
      <c r="F512" s="26" t="n">
        <v>2</v>
      </c>
      <c r="G512" s="20">
        <f>E512/F512</f>
        <v/>
      </c>
      <c r="H512" s="24">
        <f>(E501-G512)^2+(E503-G512)^2</f>
        <v/>
      </c>
    </row>
    <row r="513" outlineLevel="1"/>
    <row r="514" outlineLevel="1">
      <c r="B514" s="13" t="inlineStr">
        <is>
          <t>C. Выбор колонки: наименьшая оставшаяся сумма квадратов   (Теория, раздел 5)</t>
        </is>
      </c>
    </row>
    <row r="515" outlineLevel="1" ht="44" customHeight="1">
      <c r="B515" s="21">
        <f>"Складываем ошибку, оставшуюся в двух группах каждой колонки, и берём минимум. Экран: "&amp;TEXT(H509,"0.##")&amp;" + "&amp;TEXT(H510,"0.##")&amp;" = "&amp;TEXT(C517,"0.##")&amp;";  SSD: "&amp;TEXT(H511,"0.##")&amp;" + "&amp;TEXT(H512,"0.##")&amp;" = "&amp;TEXT(C518,"0.##")&amp;".  Меньше у: "&amp;$E$517&amp;IF(MIN(C517:C518)&gt;0," (у соседки в "&amp;TEXT(MAX(C517:C518)/MIN(C517:C518),"0.00")&amp;" раза больше)","")&amp;". Значит h_15 строится по этой колонке, и каждому объекту достаётся γ его группы."</f>
        <v/>
      </c>
    </row>
    <row r="516" outlineLevel="1" ht="30" customHeight="1">
      <c r="B516" s="16" t="inlineStr">
        <is>
          <t>Колонка j</t>
        </is>
      </c>
      <c r="C516" s="16" t="inlineStr">
        <is>
          <t>Остаётся Σ(rᵢ − γ)² по обеим группам</t>
        </is>
      </c>
      <c r="D516" s="16" t="inlineStr">
        <is>
          <t>Во сколько раз больше минимума</t>
        </is>
      </c>
      <c r="E516" s="16" t="inlineStr">
        <is>
          <t>Выбор j* = argmin</t>
        </is>
      </c>
    </row>
    <row r="517" outlineLevel="1">
      <c r="B517" s="17" t="inlineStr">
        <is>
          <t>Экран</t>
        </is>
      </c>
      <c r="C517" s="24">
        <f>H509+H510</f>
        <v/>
      </c>
      <c r="D517" s="27">
        <f>IF(MIN(C517:C518)=0,"—",C517/MIN(C517:C518))</f>
        <v/>
      </c>
      <c r="E517" s="28">
        <f>IF(C517&lt;=C518,"экран","SSD")</f>
        <v/>
      </c>
    </row>
    <row r="518" outlineLevel="1">
      <c r="B518" s="17" t="inlineStr">
        <is>
          <t>SSD</t>
        </is>
      </c>
      <c r="C518" s="24">
        <f>H511+H512</f>
        <v/>
      </c>
      <c r="D518" s="27">
        <f>IF(MIN(C517:C518)=0,"—",C518/MIN(C517:C518))</f>
        <v/>
      </c>
      <c r="E518" s="18" t="n"/>
    </row>
    <row r="519" outlineLevel="1"/>
    <row r="520" outlineLevel="1">
      <c r="B520" s="13" t="inlineStr">
        <is>
          <t>D. Обновление модели: F_15(xᵢ) = F_14(xᵢ) + ν·h_15(xᵢ)   (Теория, раздел 6)</t>
        </is>
      </c>
    </row>
    <row r="521" outlineLevel="1" ht="62" customHeight="1">
      <c r="B521" s="21">
        <f>"Прибавляем не всю поправку, а долю ν = "&amp;TEXT($D$8,"0.00")&amp;". A: F_15(A) = "&amp;TEXT(C523,"0.##")&amp;" + "&amp;TEXT($D$8,"0.00")&amp;" × ("&amp;TEXT(D523,"0.##")&amp;") = "&amp;TEXT(F523,"0.##")&amp;", остаток "&amp;TEXT(G523,"0.##")&amp;" − "&amp;TEXT(F523,"0.##")&amp;" = "&amp;TEXT(H523,"0.##")&amp;";  D: F_15(D) = "&amp;TEXT(C526,"0.##")&amp;" + "&amp;TEXT($D$8,"0.00")&amp;" × ("&amp;TEXT(D526,"0.##")&amp;") = "&amp;TEXT(F526,"0.##")&amp;", остаток "&amp;TEXT(H526,"0.##")&amp;". "&amp;"Итог: Σ|rᵢ| = "&amp;TEXT(I527,"0.##")&amp;" (было "&amp;TEXT(F504,"0.##")&amp;"), Σrᵢ² = "&amp;TEXT(J527,"0.##")&amp;" (было "&amp;TEXT(G504,"0.##")&amp;"). Невыученная часть вклада колонки «"&amp;$E$517&amp;"» умножилась на (1 − ν) = "&amp;TEXT(1-$D$8,"0.00")&amp;": из "&amp;TEXT(MAX(ABS(D523),ABS(D524)),"0.##")&amp;" осталось "&amp;TEXT(MAX(ABS(D523),ABS(D524))*(1-$D$8),"0.##")&amp;"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522" outlineLevel="1" ht="30" customHeight="1">
      <c r="B522" s="16" t="inlineStr">
        <is>
          <t>Ноутбук</t>
        </is>
      </c>
      <c r="C522" s="16" t="inlineStr">
        <is>
          <t>F_{14}(xᵢ)</t>
        </is>
      </c>
      <c r="D522" s="16" t="inlineStr">
        <is>
          <t>h_15(xᵢ) — поправка выбранной колонки</t>
        </is>
      </c>
      <c r="E522" s="16" t="inlineStr">
        <is>
          <t>ν·h_15(xᵢ)</t>
        </is>
      </c>
      <c r="F522" s="16" t="inlineStr">
        <is>
          <t>F_15(xᵢ) = F_{14} + ν·h_15</t>
        </is>
      </c>
      <c r="G522" s="16" t="inlineStr">
        <is>
          <t>yᵢ</t>
        </is>
      </c>
      <c r="H522" s="16" t="inlineStr">
        <is>
          <t>Новый остаток yᵢ − F_15(xᵢ)</t>
        </is>
      </c>
      <c r="I522" s="16" t="inlineStr">
        <is>
          <t>|остаток|</t>
        </is>
      </c>
      <c r="J522" s="16" t="inlineStr">
        <is>
          <t>остаток²</t>
        </is>
      </c>
    </row>
    <row r="523" outlineLevel="1">
      <c r="B523" s="17" t="inlineStr">
        <is>
          <t>A</t>
        </is>
      </c>
      <c r="C523" s="24">
        <f>F489</f>
        <v/>
      </c>
      <c r="D523" s="24">
        <f>IF($E$517="экран",G509,G511)</f>
        <v/>
      </c>
      <c r="E523" s="24">
        <f>$D$8*D523</f>
        <v/>
      </c>
      <c r="F523" s="20">
        <f>C523+E523</f>
        <v/>
      </c>
      <c r="G523" s="25">
        <f>$E$11</f>
        <v/>
      </c>
      <c r="H523" s="20">
        <f>G523-F523</f>
        <v/>
      </c>
      <c r="I523" s="24">
        <f>ABS(H523)</f>
        <v/>
      </c>
      <c r="J523" s="24">
        <f>H523^2</f>
        <v/>
      </c>
    </row>
    <row r="524" outlineLevel="1">
      <c r="B524" s="17" t="inlineStr">
        <is>
          <t>B</t>
        </is>
      </c>
      <c r="C524" s="24">
        <f>F490</f>
        <v/>
      </c>
      <c r="D524" s="24">
        <f>IF($E$517="экран",G509,G512)</f>
        <v/>
      </c>
      <c r="E524" s="24">
        <f>$D$8*D524</f>
        <v/>
      </c>
      <c r="F524" s="20">
        <f>C524+E524</f>
        <v/>
      </c>
      <c r="G524" s="25">
        <f>$E$12</f>
        <v/>
      </c>
      <c r="H524" s="20">
        <f>G524-F524</f>
        <v/>
      </c>
      <c r="I524" s="24">
        <f>ABS(H524)</f>
        <v/>
      </c>
      <c r="J524" s="24">
        <f>H524^2</f>
        <v/>
      </c>
    </row>
    <row r="525" outlineLevel="1">
      <c r="B525" s="17" t="inlineStr">
        <is>
          <t>C</t>
        </is>
      </c>
      <c r="C525" s="24">
        <f>F491</f>
        <v/>
      </c>
      <c r="D525" s="24">
        <f>IF($E$517="экран",G510,G511)</f>
        <v/>
      </c>
      <c r="E525" s="24">
        <f>$D$8*D525</f>
        <v/>
      </c>
      <c r="F525" s="20">
        <f>C525+E525</f>
        <v/>
      </c>
      <c r="G525" s="25">
        <f>$E$13</f>
        <v/>
      </c>
      <c r="H525" s="20">
        <f>G525-F525</f>
        <v/>
      </c>
      <c r="I525" s="24">
        <f>ABS(H525)</f>
        <v/>
      </c>
      <c r="J525" s="24">
        <f>H525^2</f>
        <v/>
      </c>
    </row>
    <row r="526" outlineLevel="1">
      <c r="B526" s="17" t="inlineStr">
        <is>
          <t>D</t>
        </is>
      </c>
      <c r="C526" s="24">
        <f>F492</f>
        <v/>
      </c>
      <c r="D526" s="24">
        <f>IF($E$517="экран",G510,G512)</f>
        <v/>
      </c>
      <c r="E526" s="24">
        <f>$D$8*D526</f>
        <v/>
      </c>
      <c r="F526" s="20">
        <f>C526+E526</f>
        <v/>
      </c>
      <c r="G526" s="25">
        <f>$E$14</f>
        <v/>
      </c>
      <c r="H526" s="20">
        <f>G526-F526</f>
        <v/>
      </c>
      <c r="I526" s="24">
        <f>ABS(H526)</f>
        <v/>
      </c>
      <c r="J526" s="24">
        <f>H526^2</f>
        <v/>
      </c>
    </row>
    <row r="527" outlineLevel="1">
      <c r="B527" s="13" t="inlineStr">
        <is>
          <t>Итого после шага:  Σ|rᵢ|  и  Σrᵢ²</t>
        </is>
      </c>
      <c r="I527" s="20">
        <f>SUM(I523:I526)</f>
        <v/>
      </c>
      <c r="J527" s="20">
        <f>SUM(J523:J526)</f>
        <v/>
      </c>
    </row>
    <row r="529" ht="22" customHeight="1">
      <c r="B529" s="22" t="inlineStr">
        <is>
          <t>Шаг 16:  F_16 = F_15 + ν·h_16</t>
        </is>
      </c>
    </row>
    <row r="530" outlineLevel="1">
      <c r="B530" s="23">
        <f>"Выбрана колонка: "&amp;$E$551&amp;"   ·   Σ|rᵢ|: "&amp;TEXT(F538,"0.##")&amp;" → "&amp;TEXT(I561,"0.##")&amp;"   ·   Σrᵢ²: "&amp;TEXT(G538,"0.##")&amp;" → "&amp;TEXT(J561,"0.##")</f>
        <v/>
      </c>
    </row>
    <row r="531" outlineLevel="1">
      <c r="B531" s="13" t="inlineStr">
        <is>
          <t>A. Остатки текущей модели F_15   (Теория, раздел 3)</t>
        </is>
      </c>
    </row>
    <row r="532" outlineLevel="1" ht="46" customHeight="1">
      <c r="B532" s="21">
        <f>"Остаток — антиградиент квадратичной потери: rᵢ = yᵢ − F_15(xᵢ) = −∂L/∂F — «что модель ещё не выучила». Для A: "&amp;TEXT(D534,"0.##")&amp;" − "&amp;TEXT(C534,"0.##")&amp;" = "&amp;TEXT(E534,"0.##")&amp;"; для B: "&amp;TEXT(D535,"0.##")&amp;" − "&amp;TEXT(C535,"0.##")&amp;" = "&amp;TEXT(E535,"0.##")&amp;"; для C: "&amp;TEXT(D536,"0.##")&amp;" − "&amp;TEXT(C536,"0.##")&amp;" = "&amp;TEXT(E536,"0.##")&amp;"; для D: "&amp;TEXT(D537,"0.##")&amp;" − "&amp;TEXT(C537,"0.##")&amp;" = "&amp;TEXT(E537,"0.##")&amp;". Минус — завысили, плюс — занизили. Σ|rᵢ| = "&amp;TEXT(F538,"0.##")&amp;", Σrᵢ² = "&amp;TEXT(G538,"0.##")&amp;"."</f>
        <v/>
      </c>
    </row>
    <row r="533" outlineLevel="1" ht="30" customHeight="1">
      <c r="B533" s="16" t="inlineStr">
        <is>
          <t>Ноутбук</t>
        </is>
      </c>
      <c r="C533" s="16" t="inlineStr">
        <is>
          <t>Старое предсказание F_15(xᵢ)</t>
        </is>
      </c>
      <c r="D533" s="16" t="inlineStr">
        <is>
          <t>Реальная yᵢ</t>
        </is>
      </c>
      <c r="E533" s="16" t="inlineStr">
        <is>
          <t>Остаток rᵢ = yᵢ − F_15(xᵢ)</t>
        </is>
      </c>
      <c r="F533" s="16" t="inlineStr">
        <is>
          <t>|rᵢ|</t>
        </is>
      </c>
    </row>
    <row r="534" outlineLevel="1">
      <c r="B534" s="17" t="inlineStr">
        <is>
          <t>A</t>
        </is>
      </c>
      <c r="C534" s="24">
        <f>F523</f>
        <v/>
      </c>
      <c r="D534" s="25">
        <f>$E$11</f>
        <v/>
      </c>
      <c r="E534" s="20">
        <f>D534-C534</f>
        <v/>
      </c>
      <c r="F534" s="24">
        <f>ABS(E534)</f>
        <v/>
      </c>
    </row>
    <row r="535" outlineLevel="1">
      <c r="B535" s="17" t="inlineStr">
        <is>
          <t>B</t>
        </is>
      </c>
      <c r="C535" s="24">
        <f>F524</f>
        <v/>
      </c>
      <c r="D535" s="25">
        <f>$E$12</f>
        <v/>
      </c>
      <c r="E535" s="20">
        <f>D535-C535</f>
        <v/>
      </c>
      <c r="F535" s="24">
        <f>ABS(E535)</f>
        <v/>
      </c>
    </row>
    <row r="536" outlineLevel="1">
      <c r="B536" s="17" t="inlineStr">
        <is>
          <t>C</t>
        </is>
      </c>
      <c r="C536" s="24">
        <f>F525</f>
        <v/>
      </c>
      <c r="D536" s="25">
        <f>$E$13</f>
        <v/>
      </c>
      <c r="E536" s="20">
        <f>D536-C536</f>
        <v/>
      </c>
      <c r="F536" s="24">
        <f>ABS(E536)</f>
        <v/>
      </c>
    </row>
    <row r="537" outlineLevel="1">
      <c r="B537" s="17" t="inlineStr">
        <is>
          <t>D</t>
        </is>
      </c>
      <c r="C537" s="24">
        <f>F526</f>
        <v/>
      </c>
      <c r="D537" s="25">
        <f>$E$14</f>
        <v/>
      </c>
      <c r="E537" s="20">
        <f>D537-C537</f>
        <v/>
      </c>
      <c r="F537" s="24">
        <f>ABS(E537)</f>
        <v/>
      </c>
    </row>
    <row r="538" outlineLevel="1">
      <c r="B538" s="13" t="inlineStr">
        <is>
          <t>Σ|rᵢ|  и  Σrᵢ²</t>
        </is>
      </c>
      <c r="F538" s="20">
        <f>SUM(F534:F537)</f>
        <v/>
      </c>
      <c r="G538" s="20">
        <f>SUMSQ(E534:E537)</f>
        <v/>
      </c>
    </row>
    <row r="539" outlineLevel="1"/>
    <row r="540" outlineLevel="1">
      <c r="B540" s="13" t="inlineStr">
        <is>
          <t>B. Группировка по колонкам и поправки групп   (Теория, раздел 4)</t>
        </is>
      </c>
    </row>
    <row r="541" outlineLevel="1" ht="58" customHeight="1">
      <c r="B541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("&amp;TEXT(E534,"0.##")&amp;" + "&amp;TEXT(E535,"0.##")&amp;") / 2 = "&amp;TEXT(G543,"0.##")&amp;", остаётся "&amp;TEXT(H543,"0.##")&amp;";  экран 15″ {C, D}: γ = "&amp;TEXT(G544,"0.##")&amp;", остаётся "&amp;TEXT(H544,"0.##")&amp;";  SSD 256 {A, C}: γ = ("&amp;TEXT(E534,"0.##")&amp;" + "&amp;TEXT(E536,"0.##")&amp;") / 2 = "&amp;TEXT(G545,"0.##")&amp;", остаётся "&amp;TEXT(H545,"0.##")&amp;";  SSD 512 {B, D}: γ = "&amp;TEXT(G546,"0.##")&amp;", остаётся "&amp;TEXT(H546,"0.##")&amp;"."</f>
        <v/>
      </c>
    </row>
    <row r="542" outlineLevel="1" ht="30" customHeight="1">
      <c r="B542" s="16" t="inlineStr">
        <is>
          <t>Колонка</t>
        </is>
      </c>
      <c r="C542" s="16" t="inlineStr">
        <is>
          <t>Группа G</t>
        </is>
      </c>
      <c r="D542" s="16" t="inlineStr">
        <is>
          <t>Состав</t>
        </is>
      </c>
      <c r="E542" s="16" t="inlineStr">
        <is>
          <t>Σ остатков группы</t>
        </is>
      </c>
      <c r="F542" s="16" t="inlineStr">
        <is>
          <t>|G|</t>
        </is>
      </c>
      <c r="G542" s="16" t="inlineStr">
        <is>
          <t>Поправка γ_G = Σrᵢ / |G|</t>
        </is>
      </c>
      <c r="H542" s="16" t="inlineStr">
        <is>
          <t>Остаётся Σ(rᵢ − γ_G)²</t>
        </is>
      </c>
    </row>
    <row r="543" outlineLevel="1">
      <c r="B543" s="17" t="inlineStr">
        <is>
          <t>Экран</t>
        </is>
      </c>
      <c r="C543" s="18" t="inlineStr">
        <is>
          <t>13"</t>
        </is>
      </c>
      <c r="D543" s="18" t="inlineStr">
        <is>
          <t>A, B</t>
        </is>
      </c>
      <c r="E543" s="24">
        <f>E534+E535</f>
        <v/>
      </c>
      <c r="F543" s="26" t="n">
        <v>2</v>
      </c>
      <c r="G543" s="20">
        <f>E543/F543</f>
        <v/>
      </c>
      <c r="H543" s="24">
        <f>(E534-G543)^2+(E535-G543)^2</f>
        <v/>
      </c>
    </row>
    <row r="544" outlineLevel="1">
      <c r="B544" s="17" t="inlineStr">
        <is>
          <t>Экран</t>
        </is>
      </c>
      <c r="C544" s="18" t="inlineStr">
        <is>
          <t>15"</t>
        </is>
      </c>
      <c r="D544" s="18" t="inlineStr">
        <is>
          <t>C, D</t>
        </is>
      </c>
      <c r="E544" s="24">
        <f>E536+E537</f>
        <v/>
      </c>
      <c r="F544" s="26" t="n">
        <v>2</v>
      </c>
      <c r="G544" s="20">
        <f>E544/F544</f>
        <v/>
      </c>
      <c r="H544" s="24">
        <f>(E536-G544)^2+(E537-G544)^2</f>
        <v/>
      </c>
    </row>
    <row r="545" outlineLevel="1">
      <c r="B545" s="17" t="inlineStr">
        <is>
          <t>SSD</t>
        </is>
      </c>
      <c r="C545" s="18" t="inlineStr">
        <is>
          <t>256 ГБ</t>
        </is>
      </c>
      <c r="D545" s="18" t="inlineStr">
        <is>
          <t>A, C</t>
        </is>
      </c>
      <c r="E545" s="24">
        <f>E534+E536</f>
        <v/>
      </c>
      <c r="F545" s="26" t="n">
        <v>2</v>
      </c>
      <c r="G545" s="20">
        <f>E545/F545</f>
        <v/>
      </c>
      <c r="H545" s="24">
        <f>(E534-G545)^2+(E536-G545)^2</f>
        <v/>
      </c>
    </row>
    <row r="546" outlineLevel="1">
      <c r="B546" s="17" t="inlineStr">
        <is>
          <t>SSD</t>
        </is>
      </c>
      <c r="C546" s="18" t="inlineStr">
        <is>
          <t>512 ГБ</t>
        </is>
      </c>
      <c r="D546" s="18" t="inlineStr">
        <is>
          <t>B, D</t>
        </is>
      </c>
      <c r="E546" s="24">
        <f>E535+E537</f>
        <v/>
      </c>
      <c r="F546" s="26" t="n">
        <v>2</v>
      </c>
      <c r="G546" s="20">
        <f>E546/F546</f>
        <v/>
      </c>
      <c r="H546" s="24">
        <f>(E535-G546)^2+(E537-G546)^2</f>
        <v/>
      </c>
    </row>
    <row r="547" outlineLevel="1"/>
    <row r="548" outlineLevel="1">
      <c r="B548" s="13" t="inlineStr">
        <is>
          <t>C. Выбор колонки: наименьшая оставшаяся сумма квадратов   (Теория, раздел 5)</t>
        </is>
      </c>
    </row>
    <row r="549" outlineLevel="1" ht="44" customHeight="1">
      <c r="B549" s="21">
        <f>"Складываем ошибку, оставшуюся в двух группах каждой колонки, и берём минимум. Экран: "&amp;TEXT(H543,"0.##")&amp;" + "&amp;TEXT(H544,"0.##")&amp;" = "&amp;TEXT(C551,"0.##")&amp;";  SSD: "&amp;TEXT(H545,"0.##")&amp;" + "&amp;TEXT(H546,"0.##")&amp;" = "&amp;TEXT(C552,"0.##")&amp;".  Меньше у: "&amp;$E$551&amp;IF(MIN(C551:C552)&gt;0," (у соседки в "&amp;TEXT(MAX(C551:C552)/MIN(C551:C552),"0.00")&amp;" раза больше)","")&amp;". Значит h_16 строится по этой колонке, и каждому объекту достаётся γ его группы."</f>
        <v/>
      </c>
    </row>
    <row r="550" outlineLevel="1" ht="30" customHeight="1">
      <c r="B550" s="16" t="inlineStr">
        <is>
          <t>Колонка j</t>
        </is>
      </c>
      <c r="C550" s="16" t="inlineStr">
        <is>
          <t>Остаётся Σ(rᵢ − γ)² по обеим группам</t>
        </is>
      </c>
      <c r="D550" s="16" t="inlineStr">
        <is>
          <t>Во сколько раз больше минимума</t>
        </is>
      </c>
      <c r="E550" s="16" t="inlineStr">
        <is>
          <t>Выбор j* = argmin</t>
        </is>
      </c>
    </row>
    <row r="551" outlineLevel="1">
      <c r="B551" s="17" t="inlineStr">
        <is>
          <t>Экран</t>
        </is>
      </c>
      <c r="C551" s="24">
        <f>H543+H544</f>
        <v/>
      </c>
      <c r="D551" s="27">
        <f>IF(MIN(C551:C552)=0,"—",C551/MIN(C551:C552))</f>
        <v/>
      </c>
      <c r="E551" s="28">
        <f>IF(C551&lt;=C552,"экран","SSD")</f>
        <v/>
      </c>
    </row>
    <row r="552" outlineLevel="1">
      <c r="B552" s="17" t="inlineStr">
        <is>
          <t>SSD</t>
        </is>
      </c>
      <c r="C552" s="24">
        <f>H545+H546</f>
        <v/>
      </c>
      <c r="D552" s="27">
        <f>IF(MIN(C551:C552)=0,"—",C552/MIN(C551:C552))</f>
        <v/>
      </c>
      <c r="E552" s="18" t="n"/>
    </row>
    <row r="553" outlineLevel="1"/>
    <row r="554" outlineLevel="1">
      <c r="B554" s="13" t="inlineStr">
        <is>
          <t>D. Обновление модели: F_16(xᵢ) = F_15(xᵢ) + ν·h_16(xᵢ)   (Теория, раздел 6)</t>
        </is>
      </c>
    </row>
    <row r="555" outlineLevel="1" ht="62" customHeight="1">
      <c r="B555" s="21">
        <f>"Прибавляем не всю поправку, а долю ν = "&amp;TEXT($D$8,"0.00")&amp;". A: F_16(A) = "&amp;TEXT(C557,"0.##")&amp;" + "&amp;TEXT($D$8,"0.00")&amp;" × ("&amp;TEXT(D557,"0.##")&amp;") = "&amp;TEXT(F557,"0.##")&amp;", остаток "&amp;TEXT(G557,"0.##")&amp;" − "&amp;TEXT(F557,"0.##")&amp;" = "&amp;TEXT(H557,"0.##")&amp;";  D: F_16(D) = "&amp;TEXT(C560,"0.##")&amp;" + "&amp;TEXT($D$8,"0.00")&amp;" × ("&amp;TEXT(D560,"0.##")&amp;") = "&amp;TEXT(F560,"0.##")&amp;", остаток "&amp;TEXT(H560,"0.##")&amp;". "&amp;"Итог: Σ|rᵢ| = "&amp;TEXT(I561,"0.##")&amp;" (было "&amp;TEXT(F538,"0.##")&amp;"), Σrᵢ² = "&amp;TEXT(J561,"0.##")&amp;" (было "&amp;TEXT(G538,"0.##")&amp;"). Невыученная часть вклада колонки «"&amp;$E$551&amp;"» умножилась на (1 − ν) = "&amp;TEXT(1-$D$8,"0.00")&amp;": из "&amp;TEXT(MAX(ABS(D557),ABS(D558)),"0.##")&amp;" осталось "&amp;TEXT(MAX(ABS(D557),ABS(D558))*(1-$D$8),"0.##")&amp;"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556" outlineLevel="1" ht="30" customHeight="1">
      <c r="B556" s="16" t="inlineStr">
        <is>
          <t>Ноутбук</t>
        </is>
      </c>
      <c r="C556" s="16" t="inlineStr">
        <is>
          <t>F_{15}(xᵢ)</t>
        </is>
      </c>
      <c r="D556" s="16" t="inlineStr">
        <is>
          <t>h_16(xᵢ) — поправка выбранной колонки</t>
        </is>
      </c>
      <c r="E556" s="16" t="inlineStr">
        <is>
          <t>ν·h_16(xᵢ)</t>
        </is>
      </c>
      <c r="F556" s="16" t="inlineStr">
        <is>
          <t>F_16(xᵢ) = F_{15} + ν·h_16</t>
        </is>
      </c>
      <c r="G556" s="16" t="inlineStr">
        <is>
          <t>yᵢ</t>
        </is>
      </c>
      <c r="H556" s="16" t="inlineStr">
        <is>
          <t>Новый остаток yᵢ − F_16(xᵢ)</t>
        </is>
      </c>
      <c r="I556" s="16" t="inlineStr">
        <is>
          <t>|остаток|</t>
        </is>
      </c>
      <c r="J556" s="16" t="inlineStr">
        <is>
          <t>остаток²</t>
        </is>
      </c>
    </row>
    <row r="557" outlineLevel="1">
      <c r="B557" s="17" t="inlineStr">
        <is>
          <t>A</t>
        </is>
      </c>
      <c r="C557" s="24">
        <f>F523</f>
        <v/>
      </c>
      <c r="D557" s="24">
        <f>IF($E$551="экран",G543,G545)</f>
        <v/>
      </c>
      <c r="E557" s="24">
        <f>$D$8*D557</f>
        <v/>
      </c>
      <c r="F557" s="20">
        <f>C557+E557</f>
        <v/>
      </c>
      <c r="G557" s="25">
        <f>$E$11</f>
        <v/>
      </c>
      <c r="H557" s="20">
        <f>G557-F557</f>
        <v/>
      </c>
      <c r="I557" s="24">
        <f>ABS(H557)</f>
        <v/>
      </c>
      <c r="J557" s="24">
        <f>H557^2</f>
        <v/>
      </c>
    </row>
    <row r="558" outlineLevel="1">
      <c r="B558" s="17" t="inlineStr">
        <is>
          <t>B</t>
        </is>
      </c>
      <c r="C558" s="24">
        <f>F524</f>
        <v/>
      </c>
      <c r="D558" s="24">
        <f>IF($E$551="экран",G543,G546)</f>
        <v/>
      </c>
      <c r="E558" s="24">
        <f>$D$8*D558</f>
        <v/>
      </c>
      <c r="F558" s="20">
        <f>C558+E558</f>
        <v/>
      </c>
      <c r="G558" s="25">
        <f>$E$12</f>
        <v/>
      </c>
      <c r="H558" s="20">
        <f>G558-F558</f>
        <v/>
      </c>
      <c r="I558" s="24">
        <f>ABS(H558)</f>
        <v/>
      </c>
      <c r="J558" s="24">
        <f>H558^2</f>
        <v/>
      </c>
    </row>
    <row r="559" outlineLevel="1">
      <c r="B559" s="17" t="inlineStr">
        <is>
          <t>C</t>
        </is>
      </c>
      <c r="C559" s="24">
        <f>F525</f>
        <v/>
      </c>
      <c r="D559" s="24">
        <f>IF($E$551="экран",G544,G545)</f>
        <v/>
      </c>
      <c r="E559" s="24">
        <f>$D$8*D559</f>
        <v/>
      </c>
      <c r="F559" s="20">
        <f>C559+E559</f>
        <v/>
      </c>
      <c r="G559" s="25">
        <f>$E$13</f>
        <v/>
      </c>
      <c r="H559" s="20">
        <f>G559-F559</f>
        <v/>
      </c>
      <c r="I559" s="24">
        <f>ABS(H559)</f>
        <v/>
      </c>
      <c r="J559" s="24">
        <f>H559^2</f>
        <v/>
      </c>
    </row>
    <row r="560" outlineLevel="1">
      <c r="B560" s="17" t="inlineStr">
        <is>
          <t>D</t>
        </is>
      </c>
      <c r="C560" s="24">
        <f>F526</f>
        <v/>
      </c>
      <c r="D560" s="24">
        <f>IF($E$551="экран",G544,G546)</f>
        <v/>
      </c>
      <c r="E560" s="24">
        <f>$D$8*D560</f>
        <v/>
      </c>
      <c r="F560" s="20">
        <f>C560+E560</f>
        <v/>
      </c>
      <c r="G560" s="25">
        <f>$E$14</f>
        <v/>
      </c>
      <c r="H560" s="20">
        <f>G560-F560</f>
        <v/>
      </c>
      <c r="I560" s="24">
        <f>ABS(H560)</f>
        <v/>
      </c>
      <c r="J560" s="24">
        <f>H560^2</f>
        <v/>
      </c>
    </row>
    <row r="561" outlineLevel="1">
      <c r="B561" s="13" t="inlineStr">
        <is>
          <t>Итого после шага:  Σ|rᵢ|  и  Σrᵢ²</t>
        </is>
      </c>
      <c r="I561" s="20">
        <f>SUM(I557:I560)</f>
        <v/>
      </c>
      <c r="J561" s="20">
        <f>SUM(J557:J560)</f>
        <v/>
      </c>
    </row>
    <row r="563" ht="22" customHeight="1">
      <c r="B563" s="22" t="inlineStr">
        <is>
          <t>Шаг 17:  F_17 = F_16 + ν·h_17</t>
        </is>
      </c>
    </row>
    <row r="564" outlineLevel="1">
      <c r="B564" s="23">
        <f>"Выбрана колонка: "&amp;$E$585&amp;"   ·   Σ|rᵢ|: "&amp;TEXT(F572,"0.##")&amp;" → "&amp;TEXT(I595,"0.##")&amp;"   ·   Σrᵢ²: "&amp;TEXT(G572,"0.##")&amp;" → "&amp;TEXT(J595,"0.##")</f>
        <v/>
      </c>
    </row>
    <row r="565" outlineLevel="1">
      <c r="B565" s="13" t="inlineStr">
        <is>
          <t>A. Остатки текущей модели F_16   (Теория, раздел 3)</t>
        </is>
      </c>
    </row>
    <row r="566" outlineLevel="1" ht="46" customHeight="1">
      <c r="B566" s="21">
        <f>"Остаток — антиградиент квадратичной потери: rᵢ = yᵢ − F_16(xᵢ) = −∂L/∂F — «что модель ещё не выучила». Для A: "&amp;TEXT(D568,"0.##")&amp;" − "&amp;TEXT(C568,"0.##")&amp;" = "&amp;TEXT(E568,"0.##")&amp;"; для B: "&amp;TEXT(D569,"0.##")&amp;" − "&amp;TEXT(C569,"0.##")&amp;" = "&amp;TEXT(E569,"0.##")&amp;"; для C: "&amp;TEXT(D570,"0.##")&amp;" − "&amp;TEXT(C570,"0.##")&amp;" = "&amp;TEXT(E570,"0.##")&amp;"; для D: "&amp;TEXT(D571,"0.##")&amp;" − "&amp;TEXT(C571,"0.##")&amp;" = "&amp;TEXT(E571,"0.##")&amp;". Минус — завысили, плюс — занизили. Σ|rᵢ| = "&amp;TEXT(F572,"0.##")&amp;", Σrᵢ² = "&amp;TEXT(G572,"0.##")&amp;"."</f>
        <v/>
      </c>
    </row>
    <row r="567" outlineLevel="1" ht="30" customHeight="1">
      <c r="B567" s="16" t="inlineStr">
        <is>
          <t>Ноутбук</t>
        </is>
      </c>
      <c r="C567" s="16" t="inlineStr">
        <is>
          <t>Старое предсказание F_16(xᵢ)</t>
        </is>
      </c>
      <c r="D567" s="16" t="inlineStr">
        <is>
          <t>Реальная yᵢ</t>
        </is>
      </c>
      <c r="E567" s="16" t="inlineStr">
        <is>
          <t>Остаток rᵢ = yᵢ − F_16(xᵢ)</t>
        </is>
      </c>
      <c r="F567" s="16" t="inlineStr">
        <is>
          <t>|rᵢ|</t>
        </is>
      </c>
    </row>
    <row r="568" outlineLevel="1">
      <c r="B568" s="17" t="inlineStr">
        <is>
          <t>A</t>
        </is>
      </c>
      <c r="C568" s="24">
        <f>F557</f>
        <v/>
      </c>
      <c r="D568" s="25">
        <f>$E$11</f>
        <v/>
      </c>
      <c r="E568" s="20">
        <f>D568-C568</f>
        <v/>
      </c>
      <c r="F568" s="24">
        <f>ABS(E568)</f>
        <v/>
      </c>
    </row>
    <row r="569" outlineLevel="1">
      <c r="B569" s="17" t="inlineStr">
        <is>
          <t>B</t>
        </is>
      </c>
      <c r="C569" s="24">
        <f>F558</f>
        <v/>
      </c>
      <c r="D569" s="25">
        <f>$E$12</f>
        <v/>
      </c>
      <c r="E569" s="20">
        <f>D569-C569</f>
        <v/>
      </c>
      <c r="F569" s="24">
        <f>ABS(E569)</f>
        <v/>
      </c>
    </row>
    <row r="570" outlineLevel="1">
      <c r="B570" s="17" t="inlineStr">
        <is>
          <t>C</t>
        </is>
      </c>
      <c r="C570" s="24">
        <f>F559</f>
        <v/>
      </c>
      <c r="D570" s="25">
        <f>$E$13</f>
        <v/>
      </c>
      <c r="E570" s="20">
        <f>D570-C570</f>
        <v/>
      </c>
      <c r="F570" s="24">
        <f>ABS(E570)</f>
        <v/>
      </c>
    </row>
    <row r="571" outlineLevel="1">
      <c r="B571" s="17" t="inlineStr">
        <is>
          <t>D</t>
        </is>
      </c>
      <c r="C571" s="24">
        <f>F560</f>
        <v/>
      </c>
      <c r="D571" s="25">
        <f>$E$14</f>
        <v/>
      </c>
      <c r="E571" s="20">
        <f>D571-C571</f>
        <v/>
      </c>
      <c r="F571" s="24">
        <f>ABS(E571)</f>
        <v/>
      </c>
    </row>
    <row r="572" outlineLevel="1">
      <c r="B572" s="13" t="inlineStr">
        <is>
          <t>Σ|rᵢ|  и  Σrᵢ²</t>
        </is>
      </c>
      <c r="F572" s="20">
        <f>SUM(F568:F571)</f>
        <v/>
      </c>
      <c r="G572" s="20">
        <f>SUMSQ(E568:E571)</f>
        <v/>
      </c>
    </row>
    <row r="573" outlineLevel="1"/>
    <row r="574" outlineLevel="1">
      <c r="B574" s="13" t="inlineStr">
        <is>
          <t>B. Группировка по колонкам и поправки групп   (Теория, раздел 4)</t>
        </is>
      </c>
    </row>
    <row r="575" outlineLevel="1" ht="58" customHeight="1">
      <c r="B575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("&amp;TEXT(E568,"0.##")&amp;" + "&amp;TEXT(E569,"0.##")&amp;") / 2 = "&amp;TEXT(G577,"0.##")&amp;", остаётся "&amp;TEXT(H577,"0.##")&amp;";  экран 15″ {C, D}: γ = "&amp;TEXT(G578,"0.##")&amp;", остаётся "&amp;TEXT(H578,"0.##")&amp;";  SSD 256 {A, C}: γ = ("&amp;TEXT(E568,"0.##")&amp;" + "&amp;TEXT(E570,"0.##")&amp;") / 2 = "&amp;TEXT(G579,"0.##")&amp;", остаётся "&amp;TEXT(H579,"0.##")&amp;";  SSD 512 {B, D}: γ = "&amp;TEXT(G580,"0.##")&amp;", остаётся "&amp;TEXT(H580,"0.##")&amp;"."</f>
        <v/>
      </c>
    </row>
    <row r="576" outlineLevel="1" ht="30" customHeight="1">
      <c r="B576" s="16" t="inlineStr">
        <is>
          <t>Колонка</t>
        </is>
      </c>
      <c r="C576" s="16" t="inlineStr">
        <is>
          <t>Группа G</t>
        </is>
      </c>
      <c r="D576" s="16" t="inlineStr">
        <is>
          <t>Состав</t>
        </is>
      </c>
      <c r="E576" s="16" t="inlineStr">
        <is>
          <t>Σ остатков группы</t>
        </is>
      </c>
      <c r="F576" s="16" t="inlineStr">
        <is>
          <t>|G|</t>
        </is>
      </c>
      <c r="G576" s="16" t="inlineStr">
        <is>
          <t>Поправка γ_G = Σrᵢ / |G|</t>
        </is>
      </c>
      <c r="H576" s="16" t="inlineStr">
        <is>
          <t>Остаётся Σ(rᵢ − γ_G)²</t>
        </is>
      </c>
    </row>
    <row r="577" outlineLevel="1">
      <c r="B577" s="17" t="inlineStr">
        <is>
          <t>Экран</t>
        </is>
      </c>
      <c r="C577" s="18" t="inlineStr">
        <is>
          <t>13"</t>
        </is>
      </c>
      <c r="D577" s="18" t="inlineStr">
        <is>
          <t>A, B</t>
        </is>
      </c>
      <c r="E577" s="24">
        <f>E568+E569</f>
        <v/>
      </c>
      <c r="F577" s="26" t="n">
        <v>2</v>
      </c>
      <c r="G577" s="20">
        <f>E577/F577</f>
        <v/>
      </c>
      <c r="H577" s="24">
        <f>(E568-G577)^2+(E569-G577)^2</f>
        <v/>
      </c>
    </row>
    <row r="578" outlineLevel="1">
      <c r="B578" s="17" t="inlineStr">
        <is>
          <t>Экран</t>
        </is>
      </c>
      <c r="C578" s="18" t="inlineStr">
        <is>
          <t>15"</t>
        </is>
      </c>
      <c r="D578" s="18" t="inlineStr">
        <is>
          <t>C, D</t>
        </is>
      </c>
      <c r="E578" s="24">
        <f>E570+E571</f>
        <v/>
      </c>
      <c r="F578" s="26" t="n">
        <v>2</v>
      </c>
      <c r="G578" s="20">
        <f>E578/F578</f>
        <v/>
      </c>
      <c r="H578" s="24">
        <f>(E570-G578)^2+(E571-G578)^2</f>
        <v/>
      </c>
    </row>
    <row r="579" outlineLevel="1">
      <c r="B579" s="17" t="inlineStr">
        <is>
          <t>SSD</t>
        </is>
      </c>
      <c r="C579" s="18" t="inlineStr">
        <is>
          <t>256 ГБ</t>
        </is>
      </c>
      <c r="D579" s="18" t="inlineStr">
        <is>
          <t>A, C</t>
        </is>
      </c>
      <c r="E579" s="24">
        <f>E568+E570</f>
        <v/>
      </c>
      <c r="F579" s="26" t="n">
        <v>2</v>
      </c>
      <c r="G579" s="20">
        <f>E579/F579</f>
        <v/>
      </c>
      <c r="H579" s="24">
        <f>(E568-G579)^2+(E570-G579)^2</f>
        <v/>
      </c>
    </row>
    <row r="580" outlineLevel="1">
      <c r="B580" s="17" t="inlineStr">
        <is>
          <t>SSD</t>
        </is>
      </c>
      <c r="C580" s="18" t="inlineStr">
        <is>
          <t>512 ГБ</t>
        </is>
      </c>
      <c r="D580" s="18" t="inlineStr">
        <is>
          <t>B, D</t>
        </is>
      </c>
      <c r="E580" s="24">
        <f>E569+E571</f>
        <v/>
      </c>
      <c r="F580" s="26" t="n">
        <v>2</v>
      </c>
      <c r="G580" s="20">
        <f>E580/F580</f>
        <v/>
      </c>
      <c r="H580" s="24">
        <f>(E569-G580)^2+(E571-G580)^2</f>
        <v/>
      </c>
    </row>
    <row r="581" outlineLevel="1"/>
    <row r="582" outlineLevel="1">
      <c r="B582" s="13" t="inlineStr">
        <is>
          <t>C. Выбор колонки: наименьшая оставшаяся сумма квадратов   (Теория, раздел 5)</t>
        </is>
      </c>
    </row>
    <row r="583" outlineLevel="1" ht="44" customHeight="1">
      <c r="B583" s="21">
        <f>"Складываем ошибку, оставшуюся в двух группах каждой колонки, и берём минимум. Экран: "&amp;TEXT(H577,"0.##")&amp;" + "&amp;TEXT(H578,"0.##")&amp;" = "&amp;TEXT(C585,"0.##")&amp;";  SSD: "&amp;TEXT(H579,"0.##")&amp;" + "&amp;TEXT(H580,"0.##")&amp;" = "&amp;TEXT(C586,"0.##")&amp;".  Меньше у: "&amp;$E$585&amp;IF(MIN(C585:C586)&gt;0," (у соседки в "&amp;TEXT(MAX(C585:C586)/MIN(C585:C586),"0.00")&amp;" раза больше)","")&amp;". Значит h_17 строится по этой колонке, и каждому объекту достаётся γ его группы."</f>
        <v/>
      </c>
    </row>
    <row r="584" outlineLevel="1" ht="30" customHeight="1">
      <c r="B584" s="16" t="inlineStr">
        <is>
          <t>Колонка j</t>
        </is>
      </c>
      <c r="C584" s="16" t="inlineStr">
        <is>
          <t>Остаётся Σ(rᵢ − γ)² по обеим группам</t>
        </is>
      </c>
      <c r="D584" s="16" t="inlineStr">
        <is>
          <t>Во сколько раз больше минимума</t>
        </is>
      </c>
      <c r="E584" s="16" t="inlineStr">
        <is>
          <t>Выбор j* = argmin</t>
        </is>
      </c>
    </row>
    <row r="585" outlineLevel="1">
      <c r="B585" s="17" t="inlineStr">
        <is>
          <t>Экран</t>
        </is>
      </c>
      <c r="C585" s="24">
        <f>H577+H578</f>
        <v/>
      </c>
      <c r="D585" s="27">
        <f>IF(MIN(C585:C586)=0,"—",C585/MIN(C585:C586))</f>
        <v/>
      </c>
      <c r="E585" s="28">
        <f>IF(C585&lt;=C586,"экран","SSD")</f>
        <v/>
      </c>
    </row>
    <row r="586" outlineLevel="1">
      <c r="B586" s="17" t="inlineStr">
        <is>
          <t>SSD</t>
        </is>
      </c>
      <c r="C586" s="24">
        <f>H579+H580</f>
        <v/>
      </c>
      <c r="D586" s="27">
        <f>IF(MIN(C585:C586)=0,"—",C586/MIN(C585:C586))</f>
        <v/>
      </c>
      <c r="E586" s="18" t="n"/>
    </row>
    <row r="587" outlineLevel="1"/>
    <row r="588" outlineLevel="1">
      <c r="B588" s="13" t="inlineStr">
        <is>
          <t>D. Обновление модели: F_17(xᵢ) = F_16(xᵢ) + ν·h_17(xᵢ)   (Теория, раздел 6)</t>
        </is>
      </c>
    </row>
    <row r="589" outlineLevel="1" ht="62" customHeight="1">
      <c r="B589" s="21">
        <f>"Прибавляем не всю поправку, а долю ν = "&amp;TEXT($D$8,"0.00")&amp;". A: F_17(A) = "&amp;TEXT(C591,"0.##")&amp;" + "&amp;TEXT($D$8,"0.00")&amp;" × ("&amp;TEXT(D591,"0.##")&amp;") = "&amp;TEXT(F591,"0.##")&amp;", остаток "&amp;TEXT(G591,"0.##")&amp;" − "&amp;TEXT(F591,"0.##")&amp;" = "&amp;TEXT(H591,"0.##")&amp;";  D: F_17(D) = "&amp;TEXT(C594,"0.##")&amp;" + "&amp;TEXT($D$8,"0.00")&amp;" × ("&amp;TEXT(D594,"0.##")&amp;") = "&amp;TEXT(F594,"0.##")&amp;", остаток "&amp;TEXT(H594,"0.##")&amp;". "&amp;"Итог: Σ|rᵢ| = "&amp;TEXT(I595,"0.##")&amp;" (было "&amp;TEXT(F572,"0.##")&amp;"), Σrᵢ² = "&amp;TEXT(J595,"0.##")&amp;" (было "&amp;TEXT(G572,"0.##")&amp;"). Невыученная часть вклада колонки «"&amp;$E$585&amp;"» умножилась на (1 − ν) = "&amp;TEXT(1-$D$8,"0.00")&amp;": из "&amp;TEXT(MAX(ABS(D591),ABS(D592)),"0.##")&amp;" осталось "&amp;TEXT(MAX(ABS(D591),ABS(D592))*(1-$D$8),"0.##")&amp;"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590" outlineLevel="1" ht="30" customHeight="1">
      <c r="B590" s="16" t="inlineStr">
        <is>
          <t>Ноутбук</t>
        </is>
      </c>
      <c r="C590" s="16" t="inlineStr">
        <is>
          <t>F_{16}(xᵢ)</t>
        </is>
      </c>
      <c r="D590" s="16" t="inlineStr">
        <is>
          <t>h_17(xᵢ) — поправка выбранной колонки</t>
        </is>
      </c>
      <c r="E590" s="16" t="inlineStr">
        <is>
          <t>ν·h_17(xᵢ)</t>
        </is>
      </c>
      <c r="F590" s="16" t="inlineStr">
        <is>
          <t>F_17(xᵢ) = F_{16} + ν·h_17</t>
        </is>
      </c>
      <c r="G590" s="16" t="inlineStr">
        <is>
          <t>yᵢ</t>
        </is>
      </c>
      <c r="H590" s="16" t="inlineStr">
        <is>
          <t>Новый остаток yᵢ − F_17(xᵢ)</t>
        </is>
      </c>
      <c r="I590" s="16" t="inlineStr">
        <is>
          <t>|остаток|</t>
        </is>
      </c>
      <c r="J590" s="16" t="inlineStr">
        <is>
          <t>остаток²</t>
        </is>
      </c>
    </row>
    <row r="591" outlineLevel="1">
      <c r="B591" s="17" t="inlineStr">
        <is>
          <t>A</t>
        </is>
      </c>
      <c r="C591" s="24">
        <f>F557</f>
        <v/>
      </c>
      <c r="D591" s="24">
        <f>IF($E$585="экран",G577,G579)</f>
        <v/>
      </c>
      <c r="E591" s="24">
        <f>$D$8*D591</f>
        <v/>
      </c>
      <c r="F591" s="20">
        <f>C591+E591</f>
        <v/>
      </c>
      <c r="G591" s="25">
        <f>$E$11</f>
        <v/>
      </c>
      <c r="H591" s="20">
        <f>G591-F591</f>
        <v/>
      </c>
      <c r="I591" s="24">
        <f>ABS(H591)</f>
        <v/>
      </c>
      <c r="J591" s="24">
        <f>H591^2</f>
        <v/>
      </c>
    </row>
    <row r="592" outlineLevel="1">
      <c r="B592" s="17" t="inlineStr">
        <is>
          <t>B</t>
        </is>
      </c>
      <c r="C592" s="24">
        <f>F558</f>
        <v/>
      </c>
      <c r="D592" s="24">
        <f>IF($E$585="экран",G577,G580)</f>
        <v/>
      </c>
      <c r="E592" s="24">
        <f>$D$8*D592</f>
        <v/>
      </c>
      <c r="F592" s="20">
        <f>C592+E592</f>
        <v/>
      </c>
      <c r="G592" s="25">
        <f>$E$12</f>
        <v/>
      </c>
      <c r="H592" s="20">
        <f>G592-F592</f>
        <v/>
      </c>
      <c r="I592" s="24">
        <f>ABS(H592)</f>
        <v/>
      </c>
      <c r="J592" s="24">
        <f>H592^2</f>
        <v/>
      </c>
    </row>
    <row r="593" outlineLevel="1">
      <c r="B593" s="17" t="inlineStr">
        <is>
          <t>C</t>
        </is>
      </c>
      <c r="C593" s="24">
        <f>F559</f>
        <v/>
      </c>
      <c r="D593" s="24">
        <f>IF($E$585="экран",G578,G579)</f>
        <v/>
      </c>
      <c r="E593" s="24">
        <f>$D$8*D593</f>
        <v/>
      </c>
      <c r="F593" s="20">
        <f>C593+E593</f>
        <v/>
      </c>
      <c r="G593" s="25">
        <f>$E$13</f>
        <v/>
      </c>
      <c r="H593" s="20">
        <f>G593-F593</f>
        <v/>
      </c>
      <c r="I593" s="24">
        <f>ABS(H593)</f>
        <v/>
      </c>
      <c r="J593" s="24">
        <f>H593^2</f>
        <v/>
      </c>
    </row>
    <row r="594" outlineLevel="1">
      <c r="B594" s="17" t="inlineStr">
        <is>
          <t>D</t>
        </is>
      </c>
      <c r="C594" s="24">
        <f>F560</f>
        <v/>
      </c>
      <c r="D594" s="24">
        <f>IF($E$585="экран",G578,G580)</f>
        <v/>
      </c>
      <c r="E594" s="24">
        <f>$D$8*D594</f>
        <v/>
      </c>
      <c r="F594" s="20">
        <f>C594+E594</f>
        <v/>
      </c>
      <c r="G594" s="25">
        <f>$E$14</f>
        <v/>
      </c>
      <c r="H594" s="20">
        <f>G594-F594</f>
        <v/>
      </c>
      <c r="I594" s="24">
        <f>ABS(H594)</f>
        <v/>
      </c>
      <c r="J594" s="24">
        <f>H594^2</f>
        <v/>
      </c>
    </row>
    <row r="595" outlineLevel="1">
      <c r="B595" s="13" t="inlineStr">
        <is>
          <t>Итого после шага:  Σ|rᵢ|  и  Σrᵢ²</t>
        </is>
      </c>
      <c r="I595" s="20">
        <f>SUM(I591:I594)</f>
        <v/>
      </c>
      <c r="J595" s="20">
        <f>SUM(J591:J594)</f>
        <v/>
      </c>
    </row>
    <row r="597" ht="22" customHeight="1">
      <c r="B597" s="22" t="inlineStr">
        <is>
          <t>Шаг 18:  F_18 = F_17 + ν·h_18</t>
        </is>
      </c>
    </row>
    <row r="598" outlineLevel="1">
      <c r="B598" s="23">
        <f>"Выбрана колонка: "&amp;$E$619&amp;"   ·   Σ|rᵢ|: "&amp;TEXT(F606,"0.##")&amp;" → "&amp;TEXT(I629,"0.##")&amp;"   ·   Σrᵢ²: "&amp;TEXT(G606,"0.##")&amp;" → "&amp;TEXT(J629,"0.##")</f>
        <v/>
      </c>
    </row>
    <row r="599" outlineLevel="1">
      <c r="B599" s="13" t="inlineStr">
        <is>
          <t>A. Остатки текущей модели F_17   (Теория, раздел 3)</t>
        </is>
      </c>
    </row>
    <row r="600" outlineLevel="1" ht="46" customHeight="1">
      <c r="B600" s="21">
        <f>"Остаток — антиградиент квадратичной потери: rᵢ = yᵢ − F_17(xᵢ) = −∂L/∂F — «что модель ещё не выучила». Для A: "&amp;TEXT(D602,"0.##")&amp;" − "&amp;TEXT(C602,"0.##")&amp;" = "&amp;TEXT(E602,"0.##")&amp;"; для B: "&amp;TEXT(D603,"0.##")&amp;" − "&amp;TEXT(C603,"0.##")&amp;" = "&amp;TEXT(E603,"0.##")&amp;"; для C: "&amp;TEXT(D604,"0.##")&amp;" − "&amp;TEXT(C604,"0.##")&amp;" = "&amp;TEXT(E604,"0.##")&amp;"; для D: "&amp;TEXT(D605,"0.##")&amp;" − "&amp;TEXT(C605,"0.##")&amp;" = "&amp;TEXT(E605,"0.##")&amp;". Минус — завысили, плюс — занизили. Σ|rᵢ| = "&amp;TEXT(F606,"0.##")&amp;", Σrᵢ² = "&amp;TEXT(G606,"0.##")&amp;"."</f>
        <v/>
      </c>
    </row>
    <row r="601" outlineLevel="1" ht="30" customHeight="1">
      <c r="B601" s="16" t="inlineStr">
        <is>
          <t>Ноутбук</t>
        </is>
      </c>
      <c r="C601" s="16" t="inlineStr">
        <is>
          <t>Старое предсказание F_17(xᵢ)</t>
        </is>
      </c>
      <c r="D601" s="16" t="inlineStr">
        <is>
          <t>Реальная yᵢ</t>
        </is>
      </c>
      <c r="E601" s="16" t="inlineStr">
        <is>
          <t>Остаток rᵢ = yᵢ − F_17(xᵢ)</t>
        </is>
      </c>
      <c r="F601" s="16" t="inlineStr">
        <is>
          <t>|rᵢ|</t>
        </is>
      </c>
    </row>
    <row r="602" outlineLevel="1">
      <c r="B602" s="17" t="inlineStr">
        <is>
          <t>A</t>
        </is>
      </c>
      <c r="C602" s="24">
        <f>F591</f>
        <v/>
      </c>
      <c r="D602" s="25">
        <f>$E$11</f>
        <v/>
      </c>
      <c r="E602" s="20">
        <f>D602-C602</f>
        <v/>
      </c>
      <c r="F602" s="24">
        <f>ABS(E602)</f>
        <v/>
      </c>
    </row>
    <row r="603" outlineLevel="1">
      <c r="B603" s="17" t="inlineStr">
        <is>
          <t>B</t>
        </is>
      </c>
      <c r="C603" s="24">
        <f>F592</f>
        <v/>
      </c>
      <c r="D603" s="25">
        <f>$E$12</f>
        <v/>
      </c>
      <c r="E603" s="20">
        <f>D603-C603</f>
        <v/>
      </c>
      <c r="F603" s="24">
        <f>ABS(E603)</f>
        <v/>
      </c>
    </row>
    <row r="604" outlineLevel="1">
      <c r="B604" s="17" t="inlineStr">
        <is>
          <t>C</t>
        </is>
      </c>
      <c r="C604" s="24">
        <f>F593</f>
        <v/>
      </c>
      <c r="D604" s="25">
        <f>$E$13</f>
        <v/>
      </c>
      <c r="E604" s="20">
        <f>D604-C604</f>
        <v/>
      </c>
      <c r="F604" s="24">
        <f>ABS(E604)</f>
        <v/>
      </c>
    </row>
    <row r="605" outlineLevel="1">
      <c r="B605" s="17" t="inlineStr">
        <is>
          <t>D</t>
        </is>
      </c>
      <c r="C605" s="24">
        <f>F594</f>
        <v/>
      </c>
      <c r="D605" s="25">
        <f>$E$14</f>
        <v/>
      </c>
      <c r="E605" s="20">
        <f>D605-C605</f>
        <v/>
      </c>
      <c r="F605" s="24">
        <f>ABS(E605)</f>
        <v/>
      </c>
    </row>
    <row r="606" outlineLevel="1">
      <c r="B606" s="13" t="inlineStr">
        <is>
          <t>Σ|rᵢ|  и  Σrᵢ²</t>
        </is>
      </c>
      <c r="F606" s="20">
        <f>SUM(F602:F605)</f>
        <v/>
      </c>
      <c r="G606" s="20">
        <f>SUMSQ(E602:E605)</f>
        <v/>
      </c>
    </row>
    <row r="607" outlineLevel="1"/>
    <row r="608" outlineLevel="1">
      <c r="B608" s="13" t="inlineStr">
        <is>
          <t>B. Группировка по колонкам и поправки групп   (Теория, раздел 4)</t>
        </is>
      </c>
    </row>
    <row r="609" outlineLevel="1" ht="58" customHeight="1">
      <c r="B609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("&amp;TEXT(E602,"0.##")&amp;" + "&amp;TEXT(E603,"0.##")&amp;") / 2 = "&amp;TEXT(G611,"0.##")&amp;", остаётся "&amp;TEXT(H611,"0.##")&amp;";  экран 15″ {C, D}: γ = "&amp;TEXT(G612,"0.##")&amp;", остаётся "&amp;TEXT(H612,"0.##")&amp;";  SSD 256 {A, C}: γ = ("&amp;TEXT(E602,"0.##")&amp;" + "&amp;TEXT(E604,"0.##")&amp;") / 2 = "&amp;TEXT(G613,"0.##")&amp;", остаётся "&amp;TEXT(H613,"0.##")&amp;";  SSD 512 {B, D}: γ = "&amp;TEXT(G614,"0.##")&amp;", остаётся "&amp;TEXT(H614,"0.##")&amp;"."</f>
        <v/>
      </c>
    </row>
    <row r="610" outlineLevel="1" ht="30" customHeight="1">
      <c r="B610" s="16" t="inlineStr">
        <is>
          <t>Колонка</t>
        </is>
      </c>
      <c r="C610" s="16" t="inlineStr">
        <is>
          <t>Группа G</t>
        </is>
      </c>
      <c r="D610" s="16" t="inlineStr">
        <is>
          <t>Состав</t>
        </is>
      </c>
      <c r="E610" s="16" t="inlineStr">
        <is>
          <t>Σ остатков группы</t>
        </is>
      </c>
      <c r="F610" s="16" t="inlineStr">
        <is>
          <t>|G|</t>
        </is>
      </c>
      <c r="G610" s="16" t="inlineStr">
        <is>
          <t>Поправка γ_G = Σrᵢ / |G|</t>
        </is>
      </c>
      <c r="H610" s="16" t="inlineStr">
        <is>
          <t>Остаётся Σ(rᵢ − γ_G)²</t>
        </is>
      </c>
    </row>
    <row r="611" outlineLevel="1">
      <c r="B611" s="17" t="inlineStr">
        <is>
          <t>Экран</t>
        </is>
      </c>
      <c r="C611" s="18" t="inlineStr">
        <is>
          <t>13"</t>
        </is>
      </c>
      <c r="D611" s="18" t="inlineStr">
        <is>
          <t>A, B</t>
        </is>
      </c>
      <c r="E611" s="24">
        <f>E602+E603</f>
        <v/>
      </c>
      <c r="F611" s="26" t="n">
        <v>2</v>
      </c>
      <c r="G611" s="20">
        <f>E611/F611</f>
        <v/>
      </c>
      <c r="H611" s="24">
        <f>(E602-G611)^2+(E603-G611)^2</f>
        <v/>
      </c>
    </row>
    <row r="612" outlineLevel="1">
      <c r="B612" s="17" t="inlineStr">
        <is>
          <t>Экран</t>
        </is>
      </c>
      <c r="C612" s="18" t="inlineStr">
        <is>
          <t>15"</t>
        </is>
      </c>
      <c r="D612" s="18" t="inlineStr">
        <is>
          <t>C, D</t>
        </is>
      </c>
      <c r="E612" s="24">
        <f>E604+E605</f>
        <v/>
      </c>
      <c r="F612" s="26" t="n">
        <v>2</v>
      </c>
      <c r="G612" s="20">
        <f>E612/F612</f>
        <v/>
      </c>
      <c r="H612" s="24">
        <f>(E604-G612)^2+(E605-G612)^2</f>
        <v/>
      </c>
    </row>
    <row r="613" outlineLevel="1">
      <c r="B613" s="17" t="inlineStr">
        <is>
          <t>SSD</t>
        </is>
      </c>
      <c r="C613" s="18" t="inlineStr">
        <is>
          <t>256 ГБ</t>
        </is>
      </c>
      <c r="D613" s="18" t="inlineStr">
        <is>
          <t>A, C</t>
        </is>
      </c>
      <c r="E613" s="24">
        <f>E602+E604</f>
        <v/>
      </c>
      <c r="F613" s="26" t="n">
        <v>2</v>
      </c>
      <c r="G613" s="20">
        <f>E613/F613</f>
        <v/>
      </c>
      <c r="H613" s="24">
        <f>(E602-G613)^2+(E604-G613)^2</f>
        <v/>
      </c>
    </row>
    <row r="614" outlineLevel="1">
      <c r="B614" s="17" t="inlineStr">
        <is>
          <t>SSD</t>
        </is>
      </c>
      <c r="C614" s="18" t="inlineStr">
        <is>
          <t>512 ГБ</t>
        </is>
      </c>
      <c r="D614" s="18" t="inlineStr">
        <is>
          <t>B, D</t>
        </is>
      </c>
      <c r="E614" s="24">
        <f>E603+E605</f>
        <v/>
      </c>
      <c r="F614" s="26" t="n">
        <v>2</v>
      </c>
      <c r="G614" s="20">
        <f>E614/F614</f>
        <v/>
      </c>
      <c r="H614" s="24">
        <f>(E603-G614)^2+(E605-G614)^2</f>
        <v/>
      </c>
    </row>
    <row r="615" outlineLevel="1"/>
    <row r="616" outlineLevel="1">
      <c r="B616" s="13" t="inlineStr">
        <is>
          <t>C. Выбор колонки: наименьшая оставшаяся сумма квадратов   (Теория, раздел 5)</t>
        </is>
      </c>
    </row>
    <row r="617" outlineLevel="1" ht="44" customHeight="1">
      <c r="B617" s="21">
        <f>"Складываем ошибку, оставшуюся в двух группах каждой колонки, и берём минимум. Экран: "&amp;TEXT(H611,"0.##")&amp;" + "&amp;TEXT(H612,"0.##")&amp;" = "&amp;TEXT(C619,"0.##")&amp;";  SSD: "&amp;TEXT(H613,"0.##")&amp;" + "&amp;TEXT(H614,"0.##")&amp;" = "&amp;TEXT(C620,"0.##")&amp;".  Меньше у: "&amp;$E$619&amp;IF(MIN(C619:C620)&gt;0," (у соседки в "&amp;TEXT(MAX(C619:C620)/MIN(C619:C620),"0.00")&amp;" раза больше)","")&amp;". Значит h_18 строится по этой колонке, и каждому объекту достаётся γ его группы."</f>
        <v/>
      </c>
    </row>
    <row r="618" outlineLevel="1" ht="30" customHeight="1">
      <c r="B618" s="16" t="inlineStr">
        <is>
          <t>Колонка j</t>
        </is>
      </c>
      <c r="C618" s="16" t="inlineStr">
        <is>
          <t>Остаётся Σ(rᵢ − γ)² по обеим группам</t>
        </is>
      </c>
      <c r="D618" s="16" t="inlineStr">
        <is>
          <t>Во сколько раз больше минимума</t>
        </is>
      </c>
      <c r="E618" s="16" t="inlineStr">
        <is>
          <t>Выбор j* = argmin</t>
        </is>
      </c>
    </row>
    <row r="619" outlineLevel="1">
      <c r="B619" s="17" t="inlineStr">
        <is>
          <t>Экран</t>
        </is>
      </c>
      <c r="C619" s="24">
        <f>H611+H612</f>
        <v/>
      </c>
      <c r="D619" s="27">
        <f>IF(MIN(C619:C620)=0,"—",C619/MIN(C619:C620))</f>
        <v/>
      </c>
      <c r="E619" s="28">
        <f>IF(C619&lt;=C620,"экран","SSD")</f>
        <v/>
      </c>
    </row>
    <row r="620" outlineLevel="1">
      <c r="B620" s="17" t="inlineStr">
        <is>
          <t>SSD</t>
        </is>
      </c>
      <c r="C620" s="24">
        <f>H613+H614</f>
        <v/>
      </c>
      <c r="D620" s="27">
        <f>IF(MIN(C619:C620)=0,"—",C620/MIN(C619:C620))</f>
        <v/>
      </c>
      <c r="E620" s="18" t="n"/>
    </row>
    <row r="621" outlineLevel="1"/>
    <row r="622" outlineLevel="1">
      <c r="B622" s="13" t="inlineStr">
        <is>
          <t>D. Обновление модели: F_18(xᵢ) = F_17(xᵢ) + ν·h_18(xᵢ)   (Теория, раздел 6)</t>
        </is>
      </c>
    </row>
    <row r="623" outlineLevel="1" ht="62" customHeight="1">
      <c r="B623" s="21">
        <f>"Прибавляем не всю поправку, а долю ν = "&amp;TEXT($D$8,"0.00")&amp;". A: F_18(A) = "&amp;TEXT(C625,"0.##")&amp;" + "&amp;TEXT($D$8,"0.00")&amp;" × ("&amp;TEXT(D625,"0.##")&amp;") = "&amp;TEXT(F625,"0.##")&amp;", остаток "&amp;TEXT(G625,"0.##")&amp;" − "&amp;TEXT(F625,"0.##")&amp;" = "&amp;TEXT(H625,"0.##")&amp;";  D: F_18(D) = "&amp;TEXT(C628,"0.##")&amp;" + "&amp;TEXT($D$8,"0.00")&amp;" × ("&amp;TEXT(D628,"0.##")&amp;") = "&amp;TEXT(F628,"0.##")&amp;", остаток "&amp;TEXT(H628,"0.##")&amp;". "&amp;"Итог: Σ|rᵢ| = "&amp;TEXT(I629,"0.##")&amp;" (было "&amp;TEXT(F606,"0.##")&amp;"), Σrᵢ² = "&amp;TEXT(J629,"0.##")&amp;" (было "&amp;TEXT(G606,"0.##")&amp;"). Невыученная часть вклада колонки «"&amp;$E$619&amp;"» умножилась на (1 − ν) = "&amp;TEXT(1-$D$8,"0.00")&amp;": из "&amp;TEXT(MAX(ABS(D625),ABS(D626)),"0.##")&amp;" осталось "&amp;TEXT(MAX(ABS(D625),ABS(D626))*(1-$D$8),"0.##")&amp;"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624" outlineLevel="1" ht="30" customHeight="1">
      <c r="B624" s="16" t="inlineStr">
        <is>
          <t>Ноутбук</t>
        </is>
      </c>
      <c r="C624" s="16" t="inlineStr">
        <is>
          <t>F_{17}(xᵢ)</t>
        </is>
      </c>
      <c r="D624" s="16" t="inlineStr">
        <is>
          <t>h_18(xᵢ) — поправка выбранной колонки</t>
        </is>
      </c>
      <c r="E624" s="16" t="inlineStr">
        <is>
          <t>ν·h_18(xᵢ)</t>
        </is>
      </c>
      <c r="F624" s="16" t="inlineStr">
        <is>
          <t>F_18(xᵢ) = F_{17} + ν·h_18</t>
        </is>
      </c>
      <c r="G624" s="16" t="inlineStr">
        <is>
          <t>yᵢ</t>
        </is>
      </c>
      <c r="H624" s="16" t="inlineStr">
        <is>
          <t>Новый остаток yᵢ − F_18(xᵢ)</t>
        </is>
      </c>
      <c r="I624" s="16" t="inlineStr">
        <is>
          <t>|остаток|</t>
        </is>
      </c>
      <c r="J624" s="16" t="inlineStr">
        <is>
          <t>остаток²</t>
        </is>
      </c>
    </row>
    <row r="625" outlineLevel="1">
      <c r="B625" s="17" t="inlineStr">
        <is>
          <t>A</t>
        </is>
      </c>
      <c r="C625" s="24">
        <f>F591</f>
        <v/>
      </c>
      <c r="D625" s="24">
        <f>IF($E$619="экран",G611,G613)</f>
        <v/>
      </c>
      <c r="E625" s="24">
        <f>$D$8*D625</f>
        <v/>
      </c>
      <c r="F625" s="20">
        <f>C625+E625</f>
        <v/>
      </c>
      <c r="G625" s="25">
        <f>$E$11</f>
        <v/>
      </c>
      <c r="H625" s="20">
        <f>G625-F625</f>
        <v/>
      </c>
      <c r="I625" s="24">
        <f>ABS(H625)</f>
        <v/>
      </c>
      <c r="J625" s="24">
        <f>H625^2</f>
        <v/>
      </c>
    </row>
    <row r="626" outlineLevel="1">
      <c r="B626" s="17" t="inlineStr">
        <is>
          <t>B</t>
        </is>
      </c>
      <c r="C626" s="24">
        <f>F592</f>
        <v/>
      </c>
      <c r="D626" s="24">
        <f>IF($E$619="экран",G611,G614)</f>
        <v/>
      </c>
      <c r="E626" s="24">
        <f>$D$8*D626</f>
        <v/>
      </c>
      <c r="F626" s="20">
        <f>C626+E626</f>
        <v/>
      </c>
      <c r="G626" s="25">
        <f>$E$12</f>
        <v/>
      </c>
      <c r="H626" s="20">
        <f>G626-F626</f>
        <v/>
      </c>
      <c r="I626" s="24">
        <f>ABS(H626)</f>
        <v/>
      </c>
      <c r="J626" s="24">
        <f>H626^2</f>
        <v/>
      </c>
    </row>
    <row r="627" outlineLevel="1">
      <c r="B627" s="17" t="inlineStr">
        <is>
          <t>C</t>
        </is>
      </c>
      <c r="C627" s="24">
        <f>F593</f>
        <v/>
      </c>
      <c r="D627" s="24">
        <f>IF($E$619="экран",G612,G613)</f>
        <v/>
      </c>
      <c r="E627" s="24">
        <f>$D$8*D627</f>
        <v/>
      </c>
      <c r="F627" s="20">
        <f>C627+E627</f>
        <v/>
      </c>
      <c r="G627" s="25">
        <f>$E$13</f>
        <v/>
      </c>
      <c r="H627" s="20">
        <f>G627-F627</f>
        <v/>
      </c>
      <c r="I627" s="24">
        <f>ABS(H627)</f>
        <v/>
      </c>
      <c r="J627" s="24">
        <f>H627^2</f>
        <v/>
      </c>
    </row>
    <row r="628" outlineLevel="1">
      <c r="B628" s="17" t="inlineStr">
        <is>
          <t>D</t>
        </is>
      </c>
      <c r="C628" s="24">
        <f>F594</f>
        <v/>
      </c>
      <c r="D628" s="24">
        <f>IF($E$619="экран",G612,G614)</f>
        <v/>
      </c>
      <c r="E628" s="24">
        <f>$D$8*D628</f>
        <v/>
      </c>
      <c r="F628" s="20">
        <f>C628+E628</f>
        <v/>
      </c>
      <c r="G628" s="25">
        <f>$E$14</f>
        <v/>
      </c>
      <c r="H628" s="20">
        <f>G628-F628</f>
        <v/>
      </c>
      <c r="I628" s="24">
        <f>ABS(H628)</f>
        <v/>
      </c>
      <c r="J628" s="24">
        <f>H628^2</f>
        <v/>
      </c>
    </row>
    <row r="629" outlineLevel="1">
      <c r="B629" s="13" t="inlineStr">
        <is>
          <t>Итого после шага:  Σ|rᵢ|  и  Σrᵢ²</t>
        </is>
      </c>
      <c r="I629" s="20">
        <f>SUM(I625:I628)</f>
        <v/>
      </c>
      <c r="J629" s="20">
        <f>SUM(J625:J628)</f>
        <v/>
      </c>
    </row>
    <row r="631" ht="22" customHeight="1">
      <c r="B631" s="22" t="inlineStr">
        <is>
          <t>Шаг 19:  F_19 = F_18 + ν·h_19</t>
        </is>
      </c>
    </row>
    <row r="632" outlineLevel="1">
      <c r="B632" s="23">
        <f>"Выбрана колонка: "&amp;$E$653&amp;"   ·   Σ|rᵢ|: "&amp;TEXT(F640,"0.##")&amp;" → "&amp;TEXT(I663,"0.##")&amp;"   ·   Σrᵢ²: "&amp;TEXT(G640,"0.##")&amp;" → "&amp;TEXT(J663,"0.##")</f>
        <v/>
      </c>
    </row>
    <row r="633" outlineLevel="1">
      <c r="B633" s="13" t="inlineStr">
        <is>
          <t>A. Остатки текущей модели F_18   (Теория, раздел 3)</t>
        </is>
      </c>
    </row>
    <row r="634" outlineLevel="1" ht="46" customHeight="1">
      <c r="B634" s="21">
        <f>"Остаток — антиградиент квадратичной потери: rᵢ = yᵢ − F_18(xᵢ) = −∂L/∂F — «что модель ещё не выучила». Для A: "&amp;TEXT(D636,"0.##")&amp;" − "&amp;TEXT(C636,"0.##")&amp;" = "&amp;TEXT(E636,"0.##")&amp;"; для B: "&amp;TEXT(D637,"0.##")&amp;" − "&amp;TEXT(C637,"0.##")&amp;" = "&amp;TEXT(E637,"0.##")&amp;"; для C: "&amp;TEXT(D638,"0.##")&amp;" − "&amp;TEXT(C638,"0.##")&amp;" = "&amp;TEXT(E638,"0.##")&amp;"; для D: "&amp;TEXT(D639,"0.##")&amp;" − "&amp;TEXT(C639,"0.##")&amp;" = "&amp;TEXT(E639,"0.##")&amp;". Минус — завысили, плюс — занизили. Σ|rᵢ| = "&amp;TEXT(F640,"0.##")&amp;", Σrᵢ² = "&amp;TEXT(G640,"0.##")&amp;"."</f>
        <v/>
      </c>
    </row>
    <row r="635" outlineLevel="1" ht="30" customHeight="1">
      <c r="B635" s="16" t="inlineStr">
        <is>
          <t>Ноутбук</t>
        </is>
      </c>
      <c r="C635" s="16" t="inlineStr">
        <is>
          <t>Старое предсказание F_18(xᵢ)</t>
        </is>
      </c>
      <c r="D635" s="16" t="inlineStr">
        <is>
          <t>Реальная yᵢ</t>
        </is>
      </c>
      <c r="E635" s="16" t="inlineStr">
        <is>
          <t>Остаток rᵢ = yᵢ − F_18(xᵢ)</t>
        </is>
      </c>
      <c r="F635" s="16" t="inlineStr">
        <is>
          <t>|rᵢ|</t>
        </is>
      </c>
    </row>
    <row r="636" outlineLevel="1">
      <c r="B636" s="17" t="inlineStr">
        <is>
          <t>A</t>
        </is>
      </c>
      <c r="C636" s="24">
        <f>F625</f>
        <v/>
      </c>
      <c r="D636" s="25">
        <f>$E$11</f>
        <v/>
      </c>
      <c r="E636" s="20">
        <f>D636-C636</f>
        <v/>
      </c>
      <c r="F636" s="24">
        <f>ABS(E636)</f>
        <v/>
      </c>
    </row>
    <row r="637" outlineLevel="1">
      <c r="B637" s="17" t="inlineStr">
        <is>
          <t>B</t>
        </is>
      </c>
      <c r="C637" s="24">
        <f>F626</f>
        <v/>
      </c>
      <c r="D637" s="25">
        <f>$E$12</f>
        <v/>
      </c>
      <c r="E637" s="20">
        <f>D637-C637</f>
        <v/>
      </c>
      <c r="F637" s="24">
        <f>ABS(E637)</f>
        <v/>
      </c>
    </row>
    <row r="638" outlineLevel="1">
      <c r="B638" s="17" t="inlineStr">
        <is>
          <t>C</t>
        </is>
      </c>
      <c r="C638" s="24">
        <f>F627</f>
        <v/>
      </c>
      <c r="D638" s="25">
        <f>$E$13</f>
        <v/>
      </c>
      <c r="E638" s="20">
        <f>D638-C638</f>
        <v/>
      </c>
      <c r="F638" s="24">
        <f>ABS(E638)</f>
        <v/>
      </c>
    </row>
    <row r="639" outlineLevel="1">
      <c r="B639" s="17" t="inlineStr">
        <is>
          <t>D</t>
        </is>
      </c>
      <c r="C639" s="24">
        <f>F628</f>
        <v/>
      </c>
      <c r="D639" s="25">
        <f>$E$14</f>
        <v/>
      </c>
      <c r="E639" s="20">
        <f>D639-C639</f>
        <v/>
      </c>
      <c r="F639" s="24">
        <f>ABS(E639)</f>
        <v/>
      </c>
    </row>
    <row r="640" outlineLevel="1">
      <c r="B640" s="13" t="inlineStr">
        <is>
          <t>Σ|rᵢ|  и  Σrᵢ²</t>
        </is>
      </c>
      <c r="F640" s="20">
        <f>SUM(F636:F639)</f>
        <v/>
      </c>
      <c r="G640" s="20">
        <f>SUMSQ(E636:E639)</f>
        <v/>
      </c>
    </row>
    <row r="641" outlineLevel="1"/>
    <row r="642" outlineLevel="1">
      <c r="B642" s="13" t="inlineStr">
        <is>
          <t>B. Группировка по колонкам и поправки групп   (Теория, раздел 4)</t>
        </is>
      </c>
    </row>
    <row r="643" outlineLevel="1" ht="58" customHeight="1">
      <c r="B643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("&amp;TEXT(E636,"0.##")&amp;" + "&amp;TEXT(E637,"0.##")&amp;") / 2 = "&amp;TEXT(G645,"0.##")&amp;", остаётся "&amp;TEXT(H645,"0.##")&amp;";  экран 15″ {C, D}: γ = "&amp;TEXT(G646,"0.##")&amp;", остаётся "&amp;TEXT(H646,"0.##")&amp;";  SSD 256 {A, C}: γ = ("&amp;TEXT(E636,"0.##")&amp;" + "&amp;TEXT(E638,"0.##")&amp;") / 2 = "&amp;TEXT(G647,"0.##")&amp;", остаётся "&amp;TEXT(H647,"0.##")&amp;";  SSD 512 {B, D}: γ = "&amp;TEXT(G648,"0.##")&amp;", остаётся "&amp;TEXT(H648,"0.##")&amp;"."</f>
        <v/>
      </c>
    </row>
    <row r="644" outlineLevel="1" ht="30" customHeight="1">
      <c r="B644" s="16" t="inlineStr">
        <is>
          <t>Колонка</t>
        </is>
      </c>
      <c r="C644" s="16" t="inlineStr">
        <is>
          <t>Группа G</t>
        </is>
      </c>
      <c r="D644" s="16" t="inlineStr">
        <is>
          <t>Состав</t>
        </is>
      </c>
      <c r="E644" s="16" t="inlineStr">
        <is>
          <t>Σ остатков группы</t>
        </is>
      </c>
      <c r="F644" s="16" t="inlineStr">
        <is>
          <t>|G|</t>
        </is>
      </c>
      <c r="G644" s="16" t="inlineStr">
        <is>
          <t>Поправка γ_G = Σrᵢ / |G|</t>
        </is>
      </c>
      <c r="H644" s="16" t="inlineStr">
        <is>
          <t>Остаётся Σ(rᵢ − γ_G)²</t>
        </is>
      </c>
    </row>
    <row r="645" outlineLevel="1">
      <c r="B645" s="17" t="inlineStr">
        <is>
          <t>Экран</t>
        </is>
      </c>
      <c r="C645" s="18" t="inlineStr">
        <is>
          <t>13"</t>
        </is>
      </c>
      <c r="D645" s="18" t="inlineStr">
        <is>
          <t>A, B</t>
        </is>
      </c>
      <c r="E645" s="24">
        <f>E636+E637</f>
        <v/>
      </c>
      <c r="F645" s="26" t="n">
        <v>2</v>
      </c>
      <c r="G645" s="20">
        <f>E645/F645</f>
        <v/>
      </c>
      <c r="H645" s="24">
        <f>(E636-G645)^2+(E637-G645)^2</f>
        <v/>
      </c>
    </row>
    <row r="646" outlineLevel="1">
      <c r="B646" s="17" t="inlineStr">
        <is>
          <t>Экран</t>
        </is>
      </c>
      <c r="C646" s="18" t="inlineStr">
        <is>
          <t>15"</t>
        </is>
      </c>
      <c r="D646" s="18" t="inlineStr">
        <is>
          <t>C, D</t>
        </is>
      </c>
      <c r="E646" s="24">
        <f>E638+E639</f>
        <v/>
      </c>
      <c r="F646" s="26" t="n">
        <v>2</v>
      </c>
      <c r="G646" s="20">
        <f>E646/F646</f>
        <v/>
      </c>
      <c r="H646" s="24">
        <f>(E638-G646)^2+(E639-G646)^2</f>
        <v/>
      </c>
    </row>
    <row r="647" outlineLevel="1">
      <c r="B647" s="17" t="inlineStr">
        <is>
          <t>SSD</t>
        </is>
      </c>
      <c r="C647" s="18" t="inlineStr">
        <is>
          <t>256 ГБ</t>
        </is>
      </c>
      <c r="D647" s="18" t="inlineStr">
        <is>
          <t>A, C</t>
        </is>
      </c>
      <c r="E647" s="24">
        <f>E636+E638</f>
        <v/>
      </c>
      <c r="F647" s="26" t="n">
        <v>2</v>
      </c>
      <c r="G647" s="20">
        <f>E647/F647</f>
        <v/>
      </c>
      <c r="H647" s="24">
        <f>(E636-G647)^2+(E638-G647)^2</f>
        <v/>
      </c>
    </row>
    <row r="648" outlineLevel="1">
      <c r="B648" s="17" t="inlineStr">
        <is>
          <t>SSD</t>
        </is>
      </c>
      <c r="C648" s="18" t="inlineStr">
        <is>
          <t>512 ГБ</t>
        </is>
      </c>
      <c r="D648" s="18" t="inlineStr">
        <is>
          <t>B, D</t>
        </is>
      </c>
      <c r="E648" s="24">
        <f>E637+E639</f>
        <v/>
      </c>
      <c r="F648" s="26" t="n">
        <v>2</v>
      </c>
      <c r="G648" s="20">
        <f>E648/F648</f>
        <v/>
      </c>
      <c r="H648" s="24">
        <f>(E637-G648)^2+(E639-G648)^2</f>
        <v/>
      </c>
    </row>
    <row r="649" outlineLevel="1"/>
    <row r="650" outlineLevel="1">
      <c r="B650" s="13" t="inlineStr">
        <is>
          <t>C. Выбор колонки: наименьшая оставшаяся сумма квадратов   (Теория, раздел 5)</t>
        </is>
      </c>
    </row>
    <row r="651" outlineLevel="1" ht="44" customHeight="1">
      <c r="B651" s="21">
        <f>"Складываем ошибку, оставшуюся в двух группах каждой колонки, и берём минимум. Экран: "&amp;TEXT(H645,"0.##")&amp;" + "&amp;TEXT(H646,"0.##")&amp;" = "&amp;TEXT(C653,"0.##")&amp;";  SSD: "&amp;TEXT(H647,"0.##")&amp;" + "&amp;TEXT(H648,"0.##")&amp;" = "&amp;TEXT(C654,"0.##")&amp;".  Меньше у: "&amp;$E$653&amp;IF(MIN(C653:C654)&gt;0," (у соседки в "&amp;TEXT(MAX(C653:C654)/MIN(C653:C654),"0.00")&amp;" раза больше)","")&amp;". Значит h_19 строится по этой колонке, и каждому объекту достаётся γ его группы."</f>
        <v/>
      </c>
    </row>
    <row r="652" outlineLevel="1" ht="30" customHeight="1">
      <c r="B652" s="16" t="inlineStr">
        <is>
          <t>Колонка j</t>
        </is>
      </c>
      <c r="C652" s="16" t="inlineStr">
        <is>
          <t>Остаётся Σ(rᵢ − γ)² по обеим группам</t>
        </is>
      </c>
      <c r="D652" s="16" t="inlineStr">
        <is>
          <t>Во сколько раз больше минимума</t>
        </is>
      </c>
      <c r="E652" s="16" t="inlineStr">
        <is>
          <t>Выбор j* = argmin</t>
        </is>
      </c>
    </row>
    <row r="653" outlineLevel="1">
      <c r="B653" s="17" t="inlineStr">
        <is>
          <t>Экран</t>
        </is>
      </c>
      <c r="C653" s="24">
        <f>H645+H646</f>
        <v/>
      </c>
      <c r="D653" s="27">
        <f>IF(MIN(C653:C654)=0,"—",C653/MIN(C653:C654))</f>
        <v/>
      </c>
      <c r="E653" s="28">
        <f>IF(C653&lt;=C654,"экран","SSD")</f>
        <v/>
      </c>
    </row>
    <row r="654" outlineLevel="1">
      <c r="B654" s="17" t="inlineStr">
        <is>
          <t>SSD</t>
        </is>
      </c>
      <c r="C654" s="24">
        <f>H647+H648</f>
        <v/>
      </c>
      <c r="D654" s="27">
        <f>IF(MIN(C653:C654)=0,"—",C654/MIN(C653:C654))</f>
        <v/>
      </c>
      <c r="E654" s="18" t="n"/>
    </row>
    <row r="655" outlineLevel="1"/>
    <row r="656" outlineLevel="1">
      <c r="B656" s="13" t="inlineStr">
        <is>
          <t>D. Обновление модели: F_19(xᵢ) = F_18(xᵢ) + ν·h_19(xᵢ)   (Теория, раздел 6)</t>
        </is>
      </c>
    </row>
    <row r="657" outlineLevel="1" ht="62" customHeight="1">
      <c r="B657" s="21">
        <f>"Прибавляем не всю поправку, а долю ν = "&amp;TEXT($D$8,"0.00")&amp;". A: F_19(A) = "&amp;TEXT(C659,"0.##")&amp;" + "&amp;TEXT($D$8,"0.00")&amp;" × ("&amp;TEXT(D659,"0.##")&amp;") = "&amp;TEXT(F659,"0.##")&amp;", остаток "&amp;TEXT(G659,"0.##")&amp;" − "&amp;TEXT(F659,"0.##")&amp;" = "&amp;TEXT(H659,"0.##")&amp;";  D: F_19(D) = "&amp;TEXT(C662,"0.##")&amp;" + "&amp;TEXT($D$8,"0.00")&amp;" × ("&amp;TEXT(D662,"0.##")&amp;") = "&amp;TEXT(F662,"0.##")&amp;", остаток "&amp;TEXT(H662,"0.##")&amp;". "&amp;"Итог: Σ|rᵢ| = "&amp;TEXT(I663,"0.##")&amp;" (было "&amp;TEXT(F640,"0.##")&amp;"), Σrᵢ² = "&amp;TEXT(J663,"0.##")&amp;" (было "&amp;TEXT(G640,"0.##")&amp;"). Невыученная часть вклада колонки «"&amp;$E$653&amp;"» умножилась на (1 − ν) = "&amp;TEXT(1-$D$8,"0.00")&amp;": из "&amp;TEXT(MAX(ABS(D659),ABS(D660)),"0.##")&amp;" осталось "&amp;TEXT(MAX(ABS(D659),ABS(D660))*(1-$D$8),"0.##")&amp;"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658" outlineLevel="1" ht="30" customHeight="1">
      <c r="B658" s="16" t="inlineStr">
        <is>
          <t>Ноутбук</t>
        </is>
      </c>
      <c r="C658" s="16" t="inlineStr">
        <is>
          <t>F_{18}(xᵢ)</t>
        </is>
      </c>
      <c r="D658" s="16" t="inlineStr">
        <is>
          <t>h_19(xᵢ) — поправка выбранной колонки</t>
        </is>
      </c>
      <c r="E658" s="16" t="inlineStr">
        <is>
          <t>ν·h_19(xᵢ)</t>
        </is>
      </c>
      <c r="F658" s="16" t="inlineStr">
        <is>
          <t>F_19(xᵢ) = F_{18} + ν·h_19</t>
        </is>
      </c>
      <c r="G658" s="16" t="inlineStr">
        <is>
          <t>yᵢ</t>
        </is>
      </c>
      <c r="H658" s="16" t="inlineStr">
        <is>
          <t>Новый остаток yᵢ − F_19(xᵢ)</t>
        </is>
      </c>
      <c r="I658" s="16" t="inlineStr">
        <is>
          <t>|остаток|</t>
        </is>
      </c>
      <c r="J658" s="16" t="inlineStr">
        <is>
          <t>остаток²</t>
        </is>
      </c>
    </row>
    <row r="659" outlineLevel="1">
      <c r="B659" s="17" t="inlineStr">
        <is>
          <t>A</t>
        </is>
      </c>
      <c r="C659" s="24">
        <f>F625</f>
        <v/>
      </c>
      <c r="D659" s="24">
        <f>IF($E$653="экран",G645,G647)</f>
        <v/>
      </c>
      <c r="E659" s="24">
        <f>$D$8*D659</f>
        <v/>
      </c>
      <c r="F659" s="20">
        <f>C659+E659</f>
        <v/>
      </c>
      <c r="G659" s="25">
        <f>$E$11</f>
        <v/>
      </c>
      <c r="H659" s="20">
        <f>G659-F659</f>
        <v/>
      </c>
      <c r="I659" s="24">
        <f>ABS(H659)</f>
        <v/>
      </c>
      <c r="J659" s="24">
        <f>H659^2</f>
        <v/>
      </c>
    </row>
    <row r="660" outlineLevel="1">
      <c r="B660" s="17" t="inlineStr">
        <is>
          <t>B</t>
        </is>
      </c>
      <c r="C660" s="24">
        <f>F626</f>
        <v/>
      </c>
      <c r="D660" s="24">
        <f>IF($E$653="экран",G645,G648)</f>
        <v/>
      </c>
      <c r="E660" s="24">
        <f>$D$8*D660</f>
        <v/>
      </c>
      <c r="F660" s="20">
        <f>C660+E660</f>
        <v/>
      </c>
      <c r="G660" s="25">
        <f>$E$12</f>
        <v/>
      </c>
      <c r="H660" s="20">
        <f>G660-F660</f>
        <v/>
      </c>
      <c r="I660" s="24">
        <f>ABS(H660)</f>
        <v/>
      </c>
      <c r="J660" s="24">
        <f>H660^2</f>
        <v/>
      </c>
    </row>
    <row r="661" outlineLevel="1">
      <c r="B661" s="17" t="inlineStr">
        <is>
          <t>C</t>
        </is>
      </c>
      <c r="C661" s="24">
        <f>F627</f>
        <v/>
      </c>
      <c r="D661" s="24">
        <f>IF($E$653="экран",G646,G647)</f>
        <v/>
      </c>
      <c r="E661" s="24">
        <f>$D$8*D661</f>
        <v/>
      </c>
      <c r="F661" s="20">
        <f>C661+E661</f>
        <v/>
      </c>
      <c r="G661" s="25">
        <f>$E$13</f>
        <v/>
      </c>
      <c r="H661" s="20">
        <f>G661-F661</f>
        <v/>
      </c>
      <c r="I661" s="24">
        <f>ABS(H661)</f>
        <v/>
      </c>
      <c r="J661" s="24">
        <f>H661^2</f>
        <v/>
      </c>
    </row>
    <row r="662" outlineLevel="1">
      <c r="B662" s="17" t="inlineStr">
        <is>
          <t>D</t>
        </is>
      </c>
      <c r="C662" s="24">
        <f>F628</f>
        <v/>
      </c>
      <c r="D662" s="24">
        <f>IF($E$653="экран",G646,G648)</f>
        <v/>
      </c>
      <c r="E662" s="24">
        <f>$D$8*D662</f>
        <v/>
      </c>
      <c r="F662" s="20">
        <f>C662+E662</f>
        <v/>
      </c>
      <c r="G662" s="25">
        <f>$E$14</f>
        <v/>
      </c>
      <c r="H662" s="20">
        <f>G662-F662</f>
        <v/>
      </c>
      <c r="I662" s="24">
        <f>ABS(H662)</f>
        <v/>
      </c>
      <c r="J662" s="24">
        <f>H662^2</f>
        <v/>
      </c>
    </row>
    <row r="663" outlineLevel="1">
      <c r="B663" s="13" t="inlineStr">
        <is>
          <t>Итого после шага:  Σ|rᵢ|  и  Σrᵢ²</t>
        </is>
      </c>
      <c r="I663" s="20">
        <f>SUM(I659:I662)</f>
        <v/>
      </c>
      <c r="J663" s="20">
        <f>SUM(J659:J662)</f>
        <v/>
      </c>
    </row>
    <row r="665" ht="22" customHeight="1">
      <c r="B665" s="22" t="inlineStr">
        <is>
          <t>Шаг 20:  F_20 = F_19 + ν·h_20</t>
        </is>
      </c>
    </row>
    <row r="666" outlineLevel="1">
      <c r="B666" s="23">
        <f>"Выбрана колонка: "&amp;$E$687&amp;"   ·   Σ|rᵢ|: "&amp;TEXT(F674,"0.##")&amp;" → "&amp;TEXT(I697,"0.##")&amp;"   ·   Σrᵢ²: "&amp;TEXT(G674,"0.##")&amp;" → "&amp;TEXT(J697,"0.##")</f>
        <v/>
      </c>
    </row>
    <row r="667" outlineLevel="1">
      <c r="B667" s="13" t="inlineStr">
        <is>
          <t>A. Остатки текущей модели F_19   (Теория, раздел 3)</t>
        </is>
      </c>
    </row>
    <row r="668" outlineLevel="1" ht="46" customHeight="1">
      <c r="B668" s="21">
        <f>"Остаток — антиградиент квадратичной потери: rᵢ = yᵢ − F_19(xᵢ) = −∂L/∂F — «что модель ещё не выучила». Для A: "&amp;TEXT(D670,"0.##")&amp;" − "&amp;TEXT(C670,"0.##")&amp;" = "&amp;TEXT(E670,"0.##")&amp;"; для B: "&amp;TEXT(D671,"0.##")&amp;" − "&amp;TEXT(C671,"0.##")&amp;" = "&amp;TEXT(E671,"0.##")&amp;"; для C: "&amp;TEXT(D672,"0.##")&amp;" − "&amp;TEXT(C672,"0.##")&amp;" = "&amp;TEXT(E672,"0.##")&amp;"; для D: "&amp;TEXT(D673,"0.##")&amp;" − "&amp;TEXT(C673,"0.##")&amp;" = "&amp;TEXT(E673,"0.##")&amp;". Минус — завысили, плюс — занизили. Σ|rᵢ| = "&amp;TEXT(F674,"0.##")&amp;", Σrᵢ² = "&amp;TEXT(G674,"0.##")&amp;"."</f>
        <v/>
      </c>
    </row>
    <row r="669" outlineLevel="1" ht="30" customHeight="1">
      <c r="B669" s="16" t="inlineStr">
        <is>
          <t>Ноутбук</t>
        </is>
      </c>
      <c r="C669" s="16" t="inlineStr">
        <is>
          <t>Старое предсказание F_19(xᵢ)</t>
        </is>
      </c>
      <c r="D669" s="16" t="inlineStr">
        <is>
          <t>Реальная yᵢ</t>
        </is>
      </c>
      <c r="E669" s="16" t="inlineStr">
        <is>
          <t>Остаток rᵢ = yᵢ − F_19(xᵢ)</t>
        </is>
      </c>
      <c r="F669" s="16" t="inlineStr">
        <is>
          <t>|rᵢ|</t>
        </is>
      </c>
    </row>
    <row r="670" outlineLevel="1">
      <c r="B670" s="17" t="inlineStr">
        <is>
          <t>A</t>
        </is>
      </c>
      <c r="C670" s="24">
        <f>F659</f>
        <v/>
      </c>
      <c r="D670" s="25">
        <f>$E$11</f>
        <v/>
      </c>
      <c r="E670" s="20">
        <f>D670-C670</f>
        <v/>
      </c>
      <c r="F670" s="24">
        <f>ABS(E670)</f>
        <v/>
      </c>
    </row>
    <row r="671" outlineLevel="1">
      <c r="B671" s="17" t="inlineStr">
        <is>
          <t>B</t>
        </is>
      </c>
      <c r="C671" s="24">
        <f>F660</f>
        <v/>
      </c>
      <c r="D671" s="25">
        <f>$E$12</f>
        <v/>
      </c>
      <c r="E671" s="20">
        <f>D671-C671</f>
        <v/>
      </c>
      <c r="F671" s="24">
        <f>ABS(E671)</f>
        <v/>
      </c>
    </row>
    <row r="672" outlineLevel="1">
      <c r="B672" s="17" t="inlineStr">
        <is>
          <t>C</t>
        </is>
      </c>
      <c r="C672" s="24">
        <f>F661</f>
        <v/>
      </c>
      <c r="D672" s="25">
        <f>$E$13</f>
        <v/>
      </c>
      <c r="E672" s="20">
        <f>D672-C672</f>
        <v/>
      </c>
      <c r="F672" s="24">
        <f>ABS(E672)</f>
        <v/>
      </c>
    </row>
    <row r="673" outlineLevel="1">
      <c r="B673" s="17" t="inlineStr">
        <is>
          <t>D</t>
        </is>
      </c>
      <c r="C673" s="24">
        <f>F662</f>
        <v/>
      </c>
      <c r="D673" s="25">
        <f>$E$14</f>
        <v/>
      </c>
      <c r="E673" s="20">
        <f>D673-C673</f>
        <v/>
      </c>
      <c r="F673" s="24">
        <f>ABS(E673)</f>
        <v/>
      </c>
    </row>
    <row r="674" outlineLevel="1">
      <c r="B674" s="13" t="inlineStr">
        <is>
          <t>Σ|rᵢ|  и  Σrᵢ²</t>
        </is>
      </c>
      <c r="F674" s="20">
        <f>SUM(F670:F673)</f>
        <v/>
      </c>
      <c r="G674" s="20">
        <f>SUMSQ(E670:E673)</f>
        <v/>
      </c>
    </row>
    <row r="675" outlineLevel="1"/>
    <row r="676" outlineLevel="1">
      <c r="B676" s="13" t="inlineStr">
        <is>
          <t>B. Группировка по колонкам и поправки групп   (Теория, раздел 4)</t>
        </is>
      </c>
    </row>
    <row r="677" outlineLevel="1" ht="58" customHeight="1">
      <c r="B677" s="21">
        <f>"Группируем по колонке-признаку (он известен у любого нового объекта), а не по остаткам. Лучшее одно число для группы при квадратичной потере — среднее остатков: γ_G = argmin Σ(rᵢ − γ)² = Σrᵢ / |G|. "&amp;"Экран 13″ {A, B}: γ = ("&amp;TEXT(E670,"0.##")&amp;" + "&amp;TEXT(E671,"0.##")&amp;") / 2 = "&amp;TEXT(G679,"0.##")&amp;", остаётся "&amp;TEXT(H679,"0.##")&amp;";  экран 15″ {C, D}: γ = "&amp;TEXT(G680,"0.##")&amp;", остаётся "&amp;TEXT(H680,"0.##")&amp;";  SSD 256 {A, C}: γ = ("&amp;TEXT(E670,"0.##")&amp;" + "&amp;TEXT(E672,"0.##")&amp;") / 2 = "&amp;TEXT(G681,"0.##")&amp;", остаётся "&amp;TEXT(H681,"0.##")&amp;";  SSD 512 {B, D}: γ = "&amp;TEXT(G682,"0.##")&amp;", остаётся "&amp;TEXT(H682,"0.##")&amp;"."</f>
        <v/>
      </c>
    </row>
    <row r="678" outlineLevel="1" ht="30" customHeight="1">
      <c r="B678" s="16" t="inlineStr">
        <is>
          <t>Колонка</t>
        </is>
      </c>
      <c r="C678" s="16" t="inlineStr">
        <is>
          <t>Группа G</t>
        </is>
      </c>
      <c r="D678" s="16" t="inlineStr">
        <is>
          <t>Состав</t>
        </is>
      </c>
      <c r="E678" s="16" t="inlineStr">
        <is>
          <t>Σ остатков группы</t>
        </is>
      </c>
      <c r="F678" s="16" t="inlineStr">
        <is>
          <t>|G|</t>
        </is>
      </c>
      <c r="G678" s="16" t="inlineStr">
        <is>
          <t>Поправка γ_G = Σrᵢ / |G|</t>
        </is>
      </c>
      <c r="H678" s="16" t="inlineStr">
        <is>
          <t>Остаётся Σ(rᵢ − γ_G)²</t>
        </is>
      </c>
    </row>
    <row r="679" outlineLevel="1">
      <c r="B679" s="17" t="inlineStr">
        <is>
          <t>Экран</t>
        </is>
      </c>
      <c r="C679" s="18" t="inlineStr">
        <is>
          <t>13"</t>
        </is>
      </c>
      <c r="D679" s="18" t="inlineStr">
        <is>
          <t>A, B</t>
        </is>
      </c>
      <c r="E679" s="24">
        <f>E670+E671</f>
        <v/>
      </c>
      <c r="F679" s="26" t="n">
        <v>2</v>
      </c>
      <c r="G679" s="20">
        <f>E679/F679</f>
        <v/>
      </c>
      <c r="H679" s="24">
        <f>(E670-G679)^2+(E671-G679)^2</f>
        <v/>
      </c>
    </row>
    <row r="680" outlineLevel="1">
      <c r="B680" s="17" t="inlineStr">
        <is>
          <t>Экран</t>
        </is>
      </c>
      <c r="C680" s="18" t="inlineStr">
        <is>
          <t>15"</t>
        </is>
      </c>
      <c r="D680" s="18" t="inlineStr">
        <is>
          <t>C, D</t>
        </is>
      </c>
      <c r="E680" s="24">
        <f>E672+E673</f>
        <v/>
      </c>
      <c r="F680" s="26" t="n">
        <v>2</v>
      </c>
      <c r="G680" s="20">
        <f>E680/F680</f>
        <v/>
      </c>
      <c r="H680" s="24">
        <f>(E672-G680)^2+(E673-G680)^2</f>
        <v/>
      </c>
    </row>
    <row r="681" outlineLevel="1">
      <c r="B681" s="17" t="inlineStr">
        <is>
          <t>SSD</t>
        </is>
      </c>
      <c r="C681" s="18" t="inlineStr">
        <is>
          <t>256 ГБ</t>
        </is>
      </c>
      <c r="D681" s="18" t="inlineStr">
        <is>
          <t>A, C</t>
        </is>
      </c>
      <c r="E681" s="24">
        <f>E670+E672</f>
        <v/>
      </c>
      <c r="F681" s="26" t="n">
        <v>2</v>
      </c>
      <c r="G681" s="20">
        <f>E681/F681</f>
        <v/>
      </c>
      <c r="H681" s="24">
        <f>(E670-G681)^2+(E672-G681)^2</f>
        <v/>
      </c>
    </row>
    <row r="682" outlineLevel="1">
      <c r="B682" s="17" t="inlineStr">
        <is>
          <t>SSD</t>
        </is>
      </c>
      <c r="C682" s="18" t="inlineStr">
        <is>
          <t>512 ГБ</t>
        </is>
      </c>
      <c r="D682" s="18" t="inlineStr">
        <is>
          <t>B, D</t>
        </is>
      </c>
      <c r="E682" s="24">
        <f>E671+E673</f>
        <v/>
      </c>
      <c r="F682" s="26" t="n">
        <v>2</v>
      </c>
      <c r="G682" s="20">
        <f>E682/F682</f>
        <v/>
      </c>
      <c r="H682" s="24">
        <f>(E671-G682)^2+(E673-G682)^2</f>
        <v/>
      </c>
    </row>
    <row r="683" outlineLevel="1"/>
    <row r="684" outlineLevel="1">
      <c r="B684" s="13" t="inlineStr">
        <is>
          <t>C. Выбор колонки: наименьшая оставшаяся сумма квадратов   (Теория, раздел 5)</t>
        </is>
      </c>
    </row>
    <row r="685" outlineLevel="1" ht="44" customHeight="1">
      <c r="B685" s="21">
        <f>"Складываем ошибку, оставшуюся в двух группах каждой колонки, и берём минимум. Экран: "&amp;TEXT(H679,"0.##")&amp;" + "&amp;TEXT(H680,"0.##")&amp;" = "&amp;TEXT(C687,"0.##")&amp;";  SSD: "&amp;TEXT(H681,"0.##")&amp;" + "&amp;TEXT(H682,"0.##")&amp;" = "&amp;TEXT(C688,"0.##")&amp;".  Меньше у: "&amp;$E$687&amp;IF(MIN(C687:C688)&gt;0," (у соседки в "&amp;TEXT(MAX(C687:C688)/MIN(C687:C688),"0.00")&amp;" раза больше)","")&amp;". Значит h_20 строится по этой колонке, и каждому объекту достаётся γ его группы."</f>
        <v/>
      </c>
    </row>
    <row r="686" outlineLevel="1" ht="30" customHeight="1">
      <c r="B686" s="16" t="inlineStr">
        <is>
          <t>Колонка j</t>
        </is>
      </c>
      <c r="C686" s="16" t="inlineStr">
        <is>
          <t>Остаётся Σ(rᵢ − γ)² по обеим группам</t>
        </is>
      </c>
      <c r="D686" s="16" t="inlineStr">
        <is>
          <t>Во сколько раз больше минимума</t>
        </is>
      </c>
      <c r="E686" s="16" t="inlineStr">
        <is>
          <t>Выбор j* = argmin</t>
        </is>
      </c>
    </row>
    <row r="687" outlineLevel="1">
      <c r="B687" s="17" t="inlineStr">
        <is>
          <t>Экран</t>
        </is>
      </c>
      <c r="C687" s="24">
        <f>H679+H680</f>
        <v/>
      </c>
      <c r="D687" s="27">
        <f>IF(MIN(C687:C688)=0,"—",C687/MIN(C687:C688))</f>
        <v/>
      </c>
      <c r="E687" s="28">
        <f>IF(C687&lt;=C688,"экран","SSD")</f>
        <v/>
      </c>
    </row>
    <row r="688" outlineLevel="1">
      <c r="B688" s="17" t="inlineStr">
        <is>
          <t>SSD</t>
        </is>
      </c>
      <c r="C688" s="24">
        <f>H681+H682</f>
        <v/>
      </c>
      <c r="D688" s="27">
        <f>IF(MIN(C687:C688)=0,"—",C688/MIN(C687:C688))</f>
        <v/>
      </c>
      <c r="E688" s="18" t="n"/>
    </row>
    <row r="689" outlineLevel="1"/>
    <row r="690" outlineLevel="1">
      <c r="B690" s="13" t="inlineStr">
        <is>
          <t>D. Обновление модели: F_20(xᵢ) = F_19(xᵢ) + ν·h_20(xᵢ)   (Теория, раздел 6)</t>
        </is>
      </c>
    </row>
    <row r="691" outlineLevel="1" ht="62" customHeight="1">
      <c r="B691" s="21">
        <f>"Прибавляем не всю поправку, а долю ν = "&amp;TEXT($D$8,"0.00")&amp;". A: F_20(A) = "&amp;TEXT(C693,"0.##")&amp;" + "&amp;TEXT($D$8,"0.00")&amp;" × ("&amp;TEXT(D693,"0.##")&amp;") = "&amp;TEXT(F693,"0.##")&amp;", остаток "&amp;TEXT(G693,"0.##")&amp;" − "&amp;TEXT(F693,"0.##")&amp;" = "&amp;TEXT(H693,"0.##")&amp;";  D: F_20(D) = "&amp;TEXT(C696,"0.##")&amp;" + "&amp;TEXT($D$8,"0.00")&amp;" × ("&amp;TEXT(D696,"0.##")&amp;") = "&amp;TEXT(F696,"0.##")&amp;", остаток "&amp;TEXT(H696,"0.##")&amp;". "&amp;"Итог: Σ|rᵢ| = "&amp;TEXT(I697,"0.##")&amp;" (было "&amp;TEXT(F674,"0.##")&amp;"), Σrᵢ² = "&amp;TEXT(J697,"0.##")&amp;" (было "&amp;TEXT(G674,"0.##")&amp;"). Невыученная часть вклада колонки «"&amp;$E$687&amp;"» умножилась на (1 − ν) = "&amp;TEXT(1-$D$8,"0.00")&amp;": из "&amp;TEXT(MAX(ABS(D693),ABS(D694)),"0.##")&amp;" осталось "&amp;TEXT(MAX(ABS(D693),ABS(D694))*(1-$D$8),"0.##")&amp;" — эта колонка победит снова, только если остаток её вклада больше невыученного вклада другой колонки (Теория, раздел 7)."</f>
        <v/>
      </c>
    </row>
    <row r="692" outlineLevel="1" ht="30" customHeight="1">
      <c r="B692" s="16" t="inlineStr">
        <is>
          <t>Ноутбук</t>
        </is>
      </c>
      <c r="C692" s="16" t="inlineStr">
        <is>
          <t>F_{19}(xᵢ)</t>
        </is>
      </c>
      <c r="D692" s="16" t="inlineStr">
        <is>
          <t>h_20(xᵢ) — поправка выбранной колонки</t>
        </is>
      </c>
      <c r="E692" s="16" t="inlineStr">
        <is>
          <t>ν·h_20(xᵢ)</t>
        </is>
      </c>
      <c r="F692" s="16" t="inlineStr">
        <is>
          <t>F_20(xᵢ) = F_{19} + ν·h_20</t>
        </is>
      </c>
      <c r="G692" s="16" t="inlineStr">
        <is>
          <t>yᵢ</t>
        </is>
      </c>
      <c r="H692" s="16" t="inlineStr">
        <is>
          <t>Новый остаток yᵢ − F_20(xᵢ)</t>
        </is>
      </c>
      <c r="I692" s="16" t="inlineStr">
        <is>
          <t>|остаток|</t>
        </is>
      </c>
      <c r="J692" s="16" t="inlineStr">
        <is>
          <t>остаток²</t>
        </is>
      </c>
    </row>
    <row r="693" outlineLevel="1">
      <c r="B693" s="17" t="inlineStr">
        <is>
          <t>A</t>
        </is>
      </c>
      <c r="C693" s="24">
        <f>F659</f>
        <v/>
      </c>
      <c r="D693" s="24">
        <f>IF($E$687="экран",G679,G681)</f>
        <v/>
      </c>
      <c r="E693" s="24">
        <f>$D$8*D693</f>
        <v/>
      </c>
      <c r="F693" s="20">
        <f>C693+E693</f>
        <v/>
      </c>
      <c r="G693" s="25">
        <f>$E$11</f>
        <v/>
      </c>
      <c r="H693" s="20">
        <f>G693-F693</f>
        <v/>
      </c>
      <c r="I693" s="24">
        <f>ABS(H693)</f>
        <v/>
      </c>
      <c r="J693" s="24">
        <f>H693^2</f>
        <v/>
      </c>
    </row>
    <row r="694" outlineLevel="1">
      <c r="B694" s="17" t="inlineStr">
        <is>
          <t>B</t>
        </is>
      </c>
      <c r="C694" s="24">
        <f>F660</f>
        <v/>
      </c>
      <c r="D694" s="24">
        <f>IF($E$687="экран",G679,G682)</f>
        <v/>
      </c>
      <c r="E694" s="24">
        <f>$D$8*D694</f>
        <v/>
      </c>
      <c r="F694" s="20">
        <f>C694+E694</f>
        <v/>
      </c>
      <c r="G694" s="25">
        <f>$E$12</f>
        <v/>
      </c>
      <c r="H694" s="20">
        <f>G694-F694</f>
        <v/>
      </c>
      <c r="I694" s="24">
        <f>ABS(H694)</f>
        <v/>
      </c>
      <c r="J694" s="24">
        <f>H694^2</f>
        <v/>
      </c>
    </row>
    <row r="695" outlineLevel="1">
      <c r="B695" s="17" t="inlineStr">
        <is>
          <t>C</t>
        </is>
      </c>
      <c r="C695" s="24">
        <f>F661</f>
        <v/>
      </c>
      <c r="D695" s="24">
        <f>IF($E$687="экран",G680,G681)</f>
        <v/>
      </c>
      <c r="E695" s="24">
        <f>$D$8*D695</f>
        <v/>
      </c>
      <c r="F695" s="20">
        <f>C695+E695</f>
        <v/>
      </c>
      <c r="G695" s="25">
        <f>$E$13</f>
        <v/>
      </c>
      <c r="H695" s="20">
        <f>G695-F695</f>
        <v/>
      </c>
      <c r="I695" s="24">
        <f>ABS(H695)</f>
        <v/>
      </c>
      <c r="J695" s="24">
        <f>H695^2</f>
        <v/>
      </c>
    </row>
    <row r="696" outlineLevel="1">
      <c r="B696" s="17" t="inlineStr">
        <is>
          <t>D</t>
        </is>
      </c>
      <c r="C696" s="24">
        <f>F662</f>
        <v/>
      </c>
      <c r="D696" s="24">
        <f>IF($E$687="экран",G680,G682)</f>
        <v/>
      </c>
      <c r="E696" s="24">
        <f>$D$8*D696</f>
        <v/>
      </c>
      <c r="F696" s="20">
        <f>C696+E696</f>
        <v/>
      </c>
      <c r="G696" s="25">
        <f>$E$14</f>
        <v/>
      </c>
      <c r="H696" s="20">
        <f>G696-F696</f>
        <v/>
      </c>
      <c r="I696" s="24">
        <f>ABS(H696)</f>
        <v/>
      </c>
      <c r="J696" s="24">
        <f>H696^2</f>
        <v/>
      </c>
    </row>
    <row r="697" outlineLevel="1">
      <c r="B697" s="13" t="inlineStr">
        <is>
          <t>Итого после шага:  Σ|rᵢ|  и  Σrᵢ²</t>
        </is>
      </c>
      <c r="I697" s="20">
        <f>SUM(I693:I696)</f>
        <v/>
      </c>
      <c r="J697" s="20">
        <f>SUM(J693:J696)</f>
        <v/>
      </c>
    </row>
  </sheetData>
  <mergeCells count="266">
    <mergeCell ref="B395:F395"/>
    <mergeCell ref="B106:F106"/>
    <mergeCell ref="B2:M2"/>
    <mergeCell ref="B300:E300"/>
    <mergeCell ref="B255:H255"/>
    <mergeCell ref="B529:M529"/>
    <mergeCell ref="B532:M532"/>
    <mergeCell ref="B588:J588"/>
    <mergeCell ref="B328:M328"/>
    <mergeCell ref="E687:E688"/>
    <mergeCell ref="B276:F276"/>
    <mergeCell ref="B51:H51"/>
    <mergeCell ref="B53:M53"/>
    <mergeCell ref="B429:F429"/>
    <mergeCell ref="B464:M464"/>
    <mergeCell ref="B495:M495"/>
    <mergeCell ref="B78:J78"/>
    <mergeCell ref="B334:E334"/>
    <mergeCell ref="B691:M691"/>
    <mergeCell ref="B112:J112"/>
    <mergeCell ref="B548:F548"/>
    <mergeCell ref="E245:E246"/>
    <mergeCell ref="B515:M515"/>
    <mergeCell ref="B257:M257"/>
    <mergeCell ref="B555:M555"/>
    <mergeCell ref="B668:M668"/>
    <mergeCell ref="B574:J574"/>
    <mergeCell ref="B480:F480"/>
    <mergeCell ref="B232:E232"/>
    <mergeCell ref="B447:M447"/>
    <mergeCell ref="B158:M158"/>
    <mergeCell ref="B157:F157"/>
    <mergeCell ref="B394:M394"/>
    <mergeCell ref="B64:J64"/>
    <mergeCell ref="B6:M6"/>
    <mergeCell ref="B504:E504"/>
    <mergeCell ref="B133:M133"/>
    <mergeCell ref="E585:E586"/>
    <mergeCell ref="B549:M549"/>
    <mergeCell ref="B174:F174"/>
    <mergeCell ref="B541:M541"/>
    <mergeCell ref="B268:J268"/>
    <mergeCell ref="E41:E42"/>
    <mergeCell ref="B79:M79"/>
    <mergeCell ref="B402:E402"/>
    <mergeCell ref="B404:J404"/>
    <mergeCell ref="B200:J200"/>
    <mergeCell ref="B224:M224"/>
    <mergeCell ref="B54:M54"/>
    <mergeCell ref="B493:H493"/>
    <mergeCell ref="B470:E470"/>
    <mergeCell ref="B690:J690"/>
    <mergeCell ref="B697:H697"/>
    <mergeCell ref="B121:M121"/>
    <mergeCell ref="B497:F497"/>
    <mergeCell ref="B289:H289"/>
    <mergeCell ref="B291:M291"/>
    <mergeCell ref="B378:F378"/>
    <mergeCell ref="B606:E606"/>
    <mergeCell ref="B667:F667"/>
    <mergeCell ref="B436:E436"/>
    <mergeCell ref="B56:M56"/>
    <mergeCell ref="B180:J180"/>
    <mergeCell ref="E313:E314"/>
    <mergeCell ref="B583:M583"/>
    <mergeCell ref="E483:E484"/>
    <mergeCell ref="B531:F531"/>
    <mergeCell ref="B242:F242"/>
    <mergeCell ref="B617:M617"/>
    <mergeCell ref="B657:M657"/>
    <mergeCell ref="B640:E640"/>
    <mergeCell ref="B642:J642"/>
    <mergeCell ref="B72:F72"/>
    <mergeCell ref="B396:M396"/>
    <mergeCell ref="B107:M107"/>
    <mergeCell ref="B266:E266"/>
    <mergeCell ref="B405:M405"/>
    <mergeCell ref="B632:M632"/>
    <mergeCell ref="B132:J132"/>
    <mergeCell ref="B208:F208"/>
    <mergeCell ref="B17:M17"/>
    <mergeCell ref="B164:E164"/>
    <mergeCell ref="B88:M88"/>
    <mergeCell ref="B166:J166"/>
    <mergeCell ref="B175:M175"/>
    <mergeCell ref="B527:H527"/>
    <mergeCell ref="E177:E178"/>
    <mergeCell ref="E211:E212"/>
    <mergeCell ref="B629:H629"/>
    <mergeCell ref="B609:M609"/>
    <mergeCell ref="E653:E654"/>
    <mergeCell ref="B412:F412"/>
    <mergeCell ref="B663:H663"/>
    <mergeCell ref="B19:M19"/>
    <mergeCell ref="B293:F293"/>
    <mergeCell ref="B472:J472"/>
    <mergeCell ref="B317:M317"/>
    <mergeCell ref="B99:M99"/>
    <mergeCell ref="B153:H153"/>
    <mergeCell ref="B269:M269"/>
    <mergeCell ref="B316:J316"/>
    <mergeCell ref="B486:J486"/>
    <mergeCell ref="B446:F446"/>
    <mergeCell ref="B357:H357"/>
    <mergeCell ref="B359:M359"/>
    <mergeCell ref="B124:M124"/>
    <mergeCell ref="E381:E382"/>
    <mergeCell ref="B384:J384"/>
    <mergeCell ref="B418:J418"/>
    <mergeCell ref="B20:M20"/>
    <mergeCell ref="B189:M189"/>
    <mergeCell ref="B674:E674"/>
    <mergeCell ref="B45:M45"/>
    <mergeCell ref="B487:M487"/>
    <mergeCell ref="B130:E130"/>
    <mergeCell ref="E551:E552"/>
    <mergeCell ref="B4:M4"/>
    <mergeCell ref="B302:J302"/>
    <mergeCell ref="B538:E538"/>
    <mergeCell ref="B507:M507"/>
    <mergeCell ref="B351:M351"/>
    <mergeCell ref="B310:F310"/>
    <mergeCell ref="B463:F463"/>
    <mergeCell ref="B345:M345"/>
    <mergeCell ref="B370:J370"/>
    <mergeCell ref="B141:M141"/>
    <mergeCell ref="B439:M439"/>
    <mergeCell ref="B190:M190"/>
    <mergeCell ref="B31:M31"/>
    <mergeCell ref="B473:M473"/>
    <mergeCell ref="B215:M215"/>
    <mergeCell ref="E415:E416"/>
    <mergeCell ref="B214:J214"/>
    <mergeCell ref="B361:F361"/>
    <mergeCell ref="B39:M39"/>
    <mergeCell ref="B167:M167"/>
    <mergeCell ref="B350:J350"/>
    <mergeCell ref="B98:J98"/>
    <mergeCell ref="B530:M530"/>
    <mergeCell ref="B187:H187"/>
    <mergeCell ref="B685:M685"/>
    <mergeCell ref="B181:M181"/>
    <mergeCell ref="B623:M623"/>
    <mergeCell ref="B595:H595"/>
    <mergeCell ref="B684:F684"/>
    <mergeCell ref="B461:M461"/>
    <mergeCell ref="B622:J622"/>
    <mergeCell ref="B249:M249"/>
    <mergeCell ref="B44:J44"/>
    <mergeCell ref="B73:M73"/>
    <mergeCell ref="B243:M243"/>
    <mergeCell ref="B21:F21"/>
    <mergeCell ref="B85:H85"/>
    <mergeCell ref="B87:M87"/>
    <mergeCell ref="B147:M147"/>
    <mergeCell ref="B258:M258"/>
    <mergeCell ref="B234:J234"/>
    <mergeCell ref="B368:E368"/>
    <mergeCell ref="B371:M371"/>
    <mergeCell ref="B520:J520"/>
    <mergeCell ref="B481:M481"/>
    <mergeCell ref="B259:F259"/>
    <mergeCell ref="B226:M226"/>
    <mergeCell ref="B506:J506"/>
    <mergeCell ref="B379:M379"/>
    <mergeCell ref="E279:E280"/>
    <mergeCell ref="B540:J540"/>
    <mergeCell ref="B260:M260"/>
    <mergeCell ref="B413:M413"/>
    <mergeCell ref="B582:F582"/>
    <mergeCell ref="B677:M677"/>
    <mergeCell ref="B438:J438"/>
    <mergeCell ref="B65:M65"/>
    <mergeCell ref="B225:F225"/>
    <mergeCell ref="B360:M360"/>
    <mergeCell ref="B30:J30"/>
    <mergeCell ref="B192:M192"/>
    <mergeCell ref="B514:F514"/>
    <mergeCell ref="B201:M201"/>
    <mergeCell ref="B191:F191"/>
    <mergeCell ref="B428:M428"/>
    <mergeCell ref="B462:M462"/>
    <mergeCell ref="E517:E518"/>
    <mergeCell ref="B498:M498"/>
    <mergeCell ref="B554:J554"/>
    <mergeCell ref="B323:H323"/>
    <mergeCell ref="B325:M325"/>
    <mergeCell ref="B599:F599"/>
    <mergeCell ref="B459:H459"/>
    <mergeCell ref="B113:M113"/>
    <mergeCell ref="B156:M156"/>
    <mergeCell ref="B634:M634"/>
    <mergeCell ref="B633:F633"/>
    <mergeCell ref="B344:F344"/>
    <mergeCell ref="B282:J282"/>
    <mergeCell ref="B22:M22"/>
    <mergeCell ref="B155:M155"/>
    <mergeCell ref="B311:M311"/>
    <mergeCell ref="B326:M326"/>
    <mergeCell ref="B123:F123"/>
    <mergeCell ref="B385:M385"/>
    <mergeCell ref="B28:E28"/>
    <mergeCell ref="E449:E450"/>
    <mergeCell ref="B650:F650"/>
    <mergeCell ref="E347:E348"/>
    <mergeCell ref="B235:M235"/>
    <mergeCell ref="B327:F327"/>
    <mergeCell ref="B651:M651"/>
    <mergeCell ref="B362:M362"/>
    <mergeCell ref="B598:M598"/>
    <mergeCell ref="B452:J452"/>
    <mergeCell ref="B337:M337"/>
    <mergeCell ref="B430:M430"/>
    <mergeCell ref="B140:F140"/>
    <mergeCell ref="E143:E144"/>
    <mergeCell ref="B198:E198"/>
    <mergeCell ref="B597:M597"/>
    <mergeCell ref="E619:E620"/>
    <mergeCell ref="B221:H221"/>
    <mergeCell ref="B427:M427"/>
    <mergeCell ref="B283:M283"/>
    <mergeCell ref="B561:H561"/>
    <mergeCell ref="B563:M563"/>
    <mergeCell ref="B643:M643"/>
    <mergeCell ref="B656:J656"/>
    <mergeCell ref="B419:M419"/>
    <mergeCell ref="B62:E62"/>
    <mergeCell ref="B146:J146"/>
    <mergeCell ref="B676:J676"/>
    <mergeCell ref="B8:C8"/>
    <mergeCell ref="B572:E572"/>
    <mergeCell ref="B496:M496"/>
    <mergeCell ref="B589:M589"/>
    <mergeCell ref="B608:J608"/>
    <mergeCell ref="B391:H391"/>
    <mergeCell ref="B38:F38"/>
    <mergeCell ref="B393:M393"/>
    <mergeCell ref="B453:M453"/>
    <mergeCell ref="E75:E76"/>
    <mergeCell ref="B96:E96"/>
    <mergeCell ref="B564:M564"/>
    <mergeCell ref="B566:M566"/>
    <mergeCell ref="B277:M277"/>
    <mergeCell ref="B16:D16"/>
    <mergeCell ref="B575:M575"/>
    <mergeCell ref="B565:F565"/>
    <mergeCell ref="B600:M600"/>
    <mergeCell ref="B425:H425"/>
    <mergeCell ref="B666:M666"/>
    <mergeCell ref="B336:J336"/>
    <mergeCell ref="B209:M209"/>
    <mergeCell ref="B55:F55"/>
    <mergeCell ref="E109:E110"/>
    <mergeCell ref="B90:M90"/>
    <mergeCell ref="B119:H119"/>
    <mergeCell ref="B292:M292"/>
    <mergeCell ref="B89:F89"/>
    <mergeCell ref="B122:M122"/>
    <mergeCell ref="B631:M631"/>
    <mergeCell ref="B616:F616"/>
    <mergeCell ref="B223:M223"/>
    <mergeCell ref="B665:M665"/>
    <mergeCell ref="B294:M294"/>
    <mergeCell ref="B521:M521"/>
    <mergeCell ref="B248:J248"/>
    <mergeCell ref="B303:M303"/>
  </mergeCells>
  <conditionalFormatting sqref="F24:F27">
    <cfRule type="dataBar" priority="1">
      <dataBar>
        <cfvo type="num" val="0"/>
        <cfvo type="max"/>
        <color rgb="009DC3E6"/>
      </dataBar>
    </cfRule>
  </conditionalFormatting>
  <conditionalFormatting sqref="B41:D42">
    <cfRule type="expression" priority="2" dxfId="0">
      <formula>$C41=MIN($C$41:$C$42)</formula>
    </cfRule>
  </conditionalFormatting>
  <conditionalFormatting sqref="I47:I50">
    <cfRule type="dataBar" priority="3">
      <dataBar>
        <cfvo type="num" val="0"/>
        <cfvo type="max"/>
        <color rgb="00A9D18E"/>
      </dataBar>
    </cfRule>
  </conditionalFormatting>
  <conditionalFormatting sqref="F58:F61">
    <cfRule type="dataBar" priority="4">
      <dataBar>
        <cfvo type="num" val="0"/>
        <cfvo type="max"/>
        <color rgb="009DC3E6"/>
      </dataBar>
    </cfRule>
  </conditionalFormatting>
  <conditionalFormatting sqref="B75:D76">
    <cfRule type="expression" priority="5" dxfId="0">
      <formula>$C75=MIN($C$75:$C$76)</formula>
    </cfRule>
  </conditionalFormatting>
  <conditionalFormatting sqref="I81:I84">
    <cfRule type="dataBar" priority="6">
      <dataBar>
        <cfvo type="num" val="0"/>
        <cfvo type="max"/>
        <color rgb="00A9D18E"/>
      </dataBar>
    </cfRule>
  </conditionalFormatting>
  <conditionalFormatting sqref="F92:F95">
    <cfRule type="dataBar" priority="7">
      <dataBar>
        <cfvo type="num" val="0"/>
        <cfvo type="max"/>
        <color rgb="009DC3E6"/>
      </dataBar>
    </cfRule>
  </conditionalFormatting>
  <conditionalFormatting sqref="B109:D110">
    <cfRule type="expression" priority="8" dxfId="0">
      <formula>$C109=MIN($C$109:$C$110)</formula>
    </cfRule>
  </conditionalFormatting>
  <conditionalFormatting sqref="I115:I118">
    <cfRule type="dataBar" priority="9">
      <dataBar>
        <cfvo type="num" val="0"/>
        <cfvo type="max"/>
        <color rgb="00A9D18E"/>
      </dataBar>
    </cfRule>
  </conditionalFormatting>
  <conditionalFormatting sqref="F126:F129">
    <cfRule type="dataBar" priority="10">
      <dataBar>
        <cfvo type="num" val="0"/>
        <cfvo type="max"/>
        <color rgb="009DC3E6"/>
      </dataBar>
    </cfRule>
  </conditionalFormatting>
  <conditionalFormatting sqref="B143:D144">
    <cfRule type="expression" priority="11" dxfId="0">
      <formula>$C143=MIN($C$143:$C$144)</formula>
    </cfRule>
  </conditionalFormatting>
  <conditionalFormatting sqref="I149:I152">
    <cfRule type="dataBar" priority="12">
      <dataBar>
        <cfvo type="num" val="0"/>
        <cfvo type="max"/>
        <color rgb="00A9D18E"/>
      </dataBar>
    </cfRule>
  </conditionalFormatting>
  <conditionalFormatting sqref="F160:F163">
    <cfRule type="dataBar" priority="13">
      <dataBar>
        <cfvo type="num" val="0"/>
        <cfvo type="max"/>
        <color rgb="009DC3E6"/>
      </dataBar>
    </cfRule>
  </conditionalFormatting>
  <conditionalFormatting sqref="B177:D178">
    <cfRule type="expression" priority="14" dxfId="0">
      <formula>$C177=MIN($C$177:$C$178)</formula>
    </cfRule>
  </conditionalFormatting>
  <conditionalFormatting sqref="I183:I186">
    <cfRule type="dataBar" priority="15">
      <dataBar>
        <cfvo type="num" val="0"/>
        <cfvo type="max"/>
        <color rgb="00A9D18E"/>
      </dataBar>
    </cfRule>
  </conditionalFormatting>
  <conditionalFormatting sqref="F194:F197">
    <cfRule type="dataBar" priority="16">
      <dataBar>
        <cfvo type="num" val="0"/>
        <cfvo type="max"/>
        <color rgb="009DC3E6"/>
      </dataBar>
    </cfRule>
  </conditionalFormatting>
  <conditionalFormatting sqref="B211:D212">
    <cfRule type="expression" priority="17" dxfId="0">
      <formula>$C211=MIN($C$211:$C$212)</formula>
    </cfRule>
  </conditionalFormatting>
  <conditionalFormatting sqref="I217:I220">
    <cfRule type="dataBar" priority="18">
      <dataBar>
        <cfvo type="num" val="0"/>
        <cfvo type="max"/>
        <color rgb="00A9D18E"/>
      </dataBar>
    </cfRule>
  </conditionalFormatting>
  <conditionalFormatting sqref="F228:F231">
    <cfRule type="dataBar" priority="19">
      <dataBar>
        <cfvo type="num" val="0"/>
        <cfvo type="max"/>
        <color rgb="009DC3E6"/>
      </dataBar>
    </cfRule>
  </conditionalFormatting>
  <conditionalFormatting sqref="B245:D246">
    <cfRule type="expression" priority="20" dxfId="0">
      <formula>$C245=MIN($C$245:$C$246)</formula>
    </cfRule>
  </conditionalFormatting>
  <conditionalFormatting sqref="I251:I254">
    <cfRule type="dataBar" priority="21">
      <dataBar>
        <cfvo type="num" val="0"/>
        <cfvo type="max"/>
        <color rgb="00A9D18E"/>
      </dataBar>
    </cfRule>
  </conditionalFormatting>
  <conditionalFormatting sqref="F262:F265">
    <cfRule type="dataBar" priority="22">
      <dataBar>
        <cfvo type="num" val="0"/>
        <cfvo type="max"/>
        <color rgb="009DC3E6"/>
      </dataBar>
    </cfRule>
  </conditionalFormatting>
  <conditionalFormatting sqref="B279:D280">
    <cfRule type="expression" priority="23" dxfId="0">
      <formula>$C279=MIN($C$279:$C$280)</formula>
    </cfRule>
  </conditionalFormatting>
  <conditionalFormatting sqref="I285:I288">
    <cfRule type="dataBar" priority="24">
      <dataBar>
        <cfvo type="num" val="0"/>
        <cfvo type="max"/>
        <color rgb="00A9D18E"/>
      </dataBar>
    </cfRule>
  </conditionalFormatting>
  <conditionalFormatting sqref="F296:F299">
    <cfRule type="dataBar" priority="25">
      <dataBar>
        <cfvo type="num" val="0"/>
        <cfvo type="max"/>
        <color rgb="009DC3E6"/>
      </dataBar>
    </cfRule>
  </conditionalFormatting>
  <conditionalFormatting sqref="B313:D314">
    <cfRule type="expression" priority="26" dxfId="0">
      <formula>$C313=MIN($C$313:$C$314)</formula>
    </cfRule>
  </conditionalFormatting>
  <conditionalFormatting sqref="I319:I322">
    <cfRule type="dataBar" priority="27">
      <dataBar>
        <cfvo type="num" val="0"/>
        <cfvo type="max"/>
        <color rgb="00A9D18E"/>
      </dataBar>
    </cfRule>
  </conditionalFormatting>
  <conditionalFormatting sqref="F330:F333">
    <cfRule type="dataBar" priority="28">
      <dataBar>
        <cfvo type="num" val="0"/>
        <cfvo type="max"/>
        <color rgb="009DC3E6"/>
      </dataBar>
    </cfRule>
  </conditionalFormatting>
  <conditionalFormatting sqref="B347:D348">
    <cfRule type="expression" priority="29" dxfId="0">
      <formula>$C347=MIN($C$347:$C$348)</formula>
    </cfRule>
  </conditionalFormatting>
  <conditionalFormatting sqref="I353:I356">
    <cfRule type="dataBar" priority="30">
      <dataBar>
        <cfvo type="num" val="0"/>
        <cfvo type="max"/>
        <color rgb="00A9D18E"/>
      </dataBar>
    </cfRule>
  </conditionalFormatting>
  <conditionalFormatting sqref="F364:F367">
    <cfRule type="dataBar" priority="31">
      <dataBar>
        <cfvo type="num" val="0"/>
        <cfvo type="max"/>
        <color rgb="009DC3E6"/>
      </dataBar>
    </cfRule>
  </conditionalFormatting>
  <conditionalFormatting sqref="B381:D382">
    <cfRule type="expression" priority="32" dxfId="0">
      <formula>$C381=MIN($C$381:$C$382)</formula>
    </cfRule>
  </conditionalFormatting>
  <conditionalFormatting sqref="I387:I390">
    <cfRule type="dataBar" priority="33">
      <dataBar>
        <cfvo type="num" val="0"/>
        <cfvo type="max"/>
        <color rgb="00A9D18E"/>
      </dataBar>
    </cfRule>
  </conditionalFormatting>
  <conditionalFormatting sqref="F398:F401">
    <cfRule type="dataBar" priority="34">
      <dataBar>
        <cfvo type="num" val="0"/>
        <cfvo type="max"/>
        <color rgb="009DC3E6"/>
      </dataBar>
    </cfRule>
  </conditionalFormatting>
  <conditionalFormatting sqref="B415:D416">
    <cfRule type="expression" priority="35" dxfId="0">
      <formula>$C415=MIN($C$415:$C$416)</formula>
    </cfRule>
  </conditionalFormatting>
  <conditionalFormatting sqref="I421:I424">
    <cfRule type="dataBar" priority="36">
      <dataBar>
        <cfvo type="num" val="0"/>
        <cfvo type="max"/>
        <color rgb="00A9D18E"/>
      </dataBar>
    </cfRule>
  </conditionalFormatting>
  <conditionalFormatting sqref="F432:F435">
    <cfRule type="dataBar" priority="37">
      <dataBar>
        <cfvo type="num" val="0"/>
        <cfvo type="max"/>
        <color rgb="009DC3E6"/>
      </dataBar>
    </cfRule>
  </conditionalFormatting>
  <conditionalFormatting sqref="B449:D450">
    <cfRule type="expression" priority="38" dxfId="0">
      <formula>$C449=MIN($C$449:$C$450)</formula>
    </cfRule>
  </conditionalFormatting>
  <conditionalFormatting sqref="I455:I458">
    <cfRule type="dataBar" priority="39">
      <dataBar>
        <cfvo type="num" val="0"/>
        <cfvo type="max"/>
        <color rgb="00A9D18E"/>
      </dataBar>
    </cfRule>
  </conditionalFormatting>
  <conditionalFormatting sqref="F466:F469">
    <cfRule type="dataBar" priority="40">
      <dataBar>
        <cfvo type="num" val="0"/>
        <cfvo type="max"/>
        <color rgb="009DC3E6"/>
      </dataBar>
    </cfRule>
  </conditionalFormatting>
  <conditionalFormatting sqref="B483:D484">
    <cfRule type="expression" priority="41" dxfId="0">
      <formula>$C483=MIN($C$483:$C$484)</formula>
    </cfRule>
  </conditionalFormatting>
  <conditionalFormatting sqref="I489:I492">
    <cfRule type="dataBar" priority="42">
      <dataBar>
        <cfvo type="num" val="0"/>
        <cfvo type="max"/>
        <color rgb="00A9D18E"/>
      </dataBar>
    </cfRule>
  </conditionalFormatting>
  <conditionalFormatting sqref="F500:F503">
    <cfRule type="dataBar" priority="43">
      <dataBar>
        <cfvo type="num" val="0"/>
        <cfvo type="max"/>
        <color rgb="009DC3E6"/>
      </dataBar>
    </cfRule>
  </conditionalFormatting>
  <conditionalFormatting sqref="B517:D518">
    <cfRule type="expression" priority="44" dxfId="0">
      <formula>$C517=MIN($C$517:$C$518)</formula>
    </cfRule>
  </conditionalFormatting>
  <conditionalFormatting sqref="I523:I526">
    <cfRule type="dataBar" priority="45">
      <dataBar>
        <cfvo type="num" val="0"/>
        <cfvo type="max"/>
        <color rgb="00A9D18E"/>
      </dataBar>
    </cfRule>
  </conditionalFormatting>
  <conditionalFormatting sqref="F534:F537">
    <cfRule type="dataBar" priority="46">
      <dataBar>
        <cfvo type="num" val="0"/>
        <cfvo type="max"/>
        <color rgb="009DC3E6"/>
      </dataBar>
    </cfRule>
  </conditionalFormatting>
  <conditionalFormatting sqref="B551:D552">
    <cfRule type="expression" priority="47" dxfId="0">
      <formula>$C551=MIN($C$551:$C$552)</formula>
    </cfRule>
  </conditionalFormatting>
  <conditionalFormatting sqref="I557:I560">
    <cfRule type="dataBar" priority="48">
      <dataBar>
        <cfvo type="num" val="0"/>
        <cfvo type="max"/>
        <color rgb="00A9D18E"/>
      </dataBar>
    </cfRule>
  </conditionalFormatting>
  <conditionalFormatting sqref="F568:F571">
    <cfRule type="dataBar" priority="49">
      <dataBar>
        <cfvo type="num" val="0"/>
        <cfvo type="max"/>
        <color rgb="009DC3E6"/>
      </dataBar>
    </cfRule>
  </conditionalFormatting>
  <conditionalFormatting sqref="B585:D586">
    <cfRule type="expression" priority="50" dxfId="0">
      <formula>$C585=MIN($C$585:$C$586)</formula>
    </cfRule>
  </conditionalFormatting>
  <conditionalFormatting sqref="I591:I594">
    <cfRule type="dataBar" priority="51">
      <dataBar>
        <cfvo type="num" val="0"/>
        <cfvo type="max"/>
        <color rgb="00A9D18E"/>
      </dataBar>
    </cfRule>
  </conditionalFormatting>
  <conditionalFormatting sqref="F602:F605">
    <cfRule type="dataBar" priority="52">
      <dataBar>
        <cfvo type="num" val="0"/>
        <cfvo type="max"/>
        <color rgb="009DC3E6"/>
      </dataBar>
    </cfRule>
  </conditionalFormatting>
  <conditionalFormatting sqref="B619:D620">
    <cfRule type="expression" priority="53" dxfId="0">
      <formula>$C619=MIN($C$619:$C$620)</formula>
    </cfRule>
  </conditionalFormatting>
  <conditionalFormatting sqref="I625:I628">
    <cfRule type="dataBar" priority="54">
      <dataBar>
        <cfvo type="num" val="0"/>
        <cfvo type="max"/>
        <color rgb="00A9D18E"/>
      </dataBar>
    </cfRule>
  </conditionalFormatting>
  <conditionalFormatting sqref="F636:F639">
    <cfRule type="dataBar" priority="55">
      <dataBar>
        <cfvo type="num" val="0"/>
        <cfvo type="max"/>
        <color rgb="009DC3E6"/>
      </dataBar>
    </cfRule>
  </conditionalFormatting>
  <conditionalFormatting sqref="B653:D654">
    <cfRule type="expression" priority="56" dxfId="0">
      <formula>$C653=MIN($C$653:$C$654)</formula>
    </cfRule>
  </conditionalFormatting>
  <conditionalFormatting sqref="I659:I662">
    <cfRule type="dataBar" priority="57">
      <dataBar>
        <cfvo type="num" val="0"/>
        <cfvo type="max"/>
        <color rgb="00A9D18E"/>
      </dataBar>
    </cfRule>
  </conditionalFormatting>
  <conditionalFormatting sqref="F670:F673">
    <cfRule type="dataBar" priority="58">
      <dataBar>
        <cfvo type="num" val="0"/>
        <cfvo type="max"/>
        <color rgb="009DC3E6"/>
      </dataBar>
    </cfRule>
  </conditionalFormatting>
  <conditionalFormatting sqref="B687:D688">
    <cfRule type="expression" priority="59" dxfId="0">
      <formula>$C687=MIN($C$687:$C$688)</formula>
    </cfRule>
  </conditionalFormatting>
  <conditionalFormatting sqref="I693:I696">
    <cfRule type="dataBar" priority="60">
      <dataBar>
        <cfvo type="num" val="0"/>
        <cfvo type="max"/>
        <color rgb="00A9D18E"/>
      </dataBar>
    </cfRule>
  </conditionalFormatting>
  <dataValidations count="1">
    <dataValidation sqref="D8" showDropDown="0" showInputMessage="0" showErrorMessage="1" allowBlank="0" errorTitle="Недопустимое ν" error="Learning rate должен быть в интервале от 0.01 до 1." type="decimal" operator="between">
      <formula1>0.01</formula1>
      <formula2>1</formula2>
    </dataValidation>
  </dataValidations>
  <hyperlinks>
    <hyperlink ref="B3" location="'Содержание'!A1" display="← Содержание"/>
    <hyperlink ref="C3" location="'Сводка'!A1" display="Сводка и графики →"/>
    <hyperlink ref="D3" location="'Теория'!A1" display="Теория →"/>
  </hyperlink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5" customWidth="1" min="4" max="4"/>
    <col width="15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8" customHeight="1">
      <c r="B2" s="11" t="inlineStr">
        <is>
          <t>Сводка по 20 шагам и графики</t>
        </is>
      </c>
    </row>
    <row r="3">
      <c r="B3" s="6" t="inlineStr">
        <is>
          <t>← Содержание</t>
        </is>
      </c>
      <c r="D3" s="6" t="inlineStr">
        <is>
          <t>Шаги →</t>
        </is>
      </c>
      <c r="F3" s="6" t="inlineStr">
        <is>
          <t>Теория →</t>
        </is>
      </c>
    </row>
    <row r="5">
      <c r="B5" s="13" t="inlineStr">
        <is>
          <t>Learning rate ν (с листа «Шаги»)</t>
        </is>
      </c>
      <c r="E5" s="29">
        <f>Шаги!$D$8</f>
        <v/>
      </c>
    </row>
    <row r="6">
      <c r="B6" s="13" t="inlineStr">
        <is>
          <t>F₀ = ȳ</t>
        </is>
      </c>
      <c r="E6" s="24">
        <f>Шаги!$E$16</f>
        <v/>
      </c>
    </row>
    <row r="8" ht="30" customHeight="1">
      <c r="B8" s="16" t="inlineStr">
        <is>
          <t>Шаг</t>
        </is>
      </c>
      <c r="C8" s="16" t="inlineStr">
        <is>
          <t>Выбрана колонка</t>
        </is>
      </c>
      <c r="D8" s="16" t="inlineStr">
        <is>
          <t>Σ|остатков|</t>
        </is>
      </c>
      <c r="E8" s="16" t="inlineStr">
        <is>
          <t>Σ квадратов</t>
        </is>
      </c>
      <c r="F8" s="16" t="inlineStr">
        <is>
          <t>Поправки экран {13″; 15″}</t>
        </is>
      </c>
      <c r="G8" s="16" t="inlineStr">
        <is>
          <t>Поправки SSD {256; 512}</t>
        </is>
      </c>
      <c r="H8" s="16" t="inlineStr">
        <is>
          <t>F(A)</t>
        </is>
      </c>
      <c r="I8" s="16" t="inlineStr">
        <is>
          <t>F(B)</t>
        </is>
      </c>
      <c r="J8" s="16" t="inlineStr">
        <is>
          <t>F(C)</t>
        </is>
      </c>
      <c r="K8" s="16" t="inlineStr">
        <is>
          <t>F(D)</t>
        </is>
      </c>
      <c r="L8" s="16" t="inlineStr">
        <is>
          <t>|ν·h| шага</t>
        </is>
      </c>
    </row>
    <row r="9">
      <c r="B9" s="26" t="n">
        <v>0</v>
      </c>
      <c r="C9" s="18" t="inlineStr">
        <is>
          <t>— (среднее)</t>
        </is>
      </c>
      <c r="D9" s="24">
        <f>ABS(Шаги!$E$11-Шаги!$E$16)+ABS(Шаги!$E$12-Шаги!$E$16)+ABS(Шаги!$E$13-Шаги!$E$16)+ABS(Шаги!$E$14-Шаги!$E$16)</f>
        <v/>
      </c>
      <c r="E9" s="24">
        <f>(Шаги!$E$11-Шаги!$E$16)^2+(Шаги!$E$12-Шаги!$E$16)^2+(Шаги!$E$13-Шаги!$E$16)^2+(Шаги!$E$14-Шаги!$E$16)^2</f>
        <v/>
      </c>
      <c r="F9" s="18" t="n"/>
      <c r="G9" s="18" t="n"/>
      <c r="H9" s="24">
        <f>Шаги!$E$16</f>
        <v/>
      </c>
      <c r="I9" s="24">
        <f>Шаги!$E$16</f>
        <v/>
      </c>
      <c r="J9" s="24">
        <f>Шаги!$E$16</f>
        <v/>
      </c>
      <c r="K9" s="24">
        <f>Шаги!$E$16</f>
        <v/>
      </c>
      <c r="L9" s="24" t="n">
        <v>0</v>
      </c>
    </row>
    <row r="10">
      <c r="B10" s="30" t="n">
        <v>1</v>
      </c>
      <c r="C10" s="31">
        <f>Шаги!$E$41</f>
        <v/>
      </c>
      <c r="D10" s="24">
        <f>Шаги!I51</f>
        <v/>
      </c>
      <c r="E10" s="24">
        <f>Шаги!J51</f>
        <v/>
      </c>
      <c r="F10" s="18">
        <f>"{"&amp;TEXT(Шаги!G33,"0.00")&amp;"; "&amp;TEXT(Шаги!G34,"0.00")&amp;"}"</f>
        <v/>
      </c>
      <c r="G10" s="18">
        <f>"{"&amp;TEXT(Шаги!G35,"0.00")&amp;"; "&amp;TEXT(Шаги!G36,"0.00")&amp;"}"</f>
        <v/>
      </c>
      <c r="H10" s="24">
        <f>Шаги!F47</f>
        <v/>
      </c>
      <c r="I10" s="24">
        <f>Шаги!F48</f>
        <v/>
      </c>
      <c r="J10" s="24">
        <f>Шаги!F49</f>
        <v/>
      </c>
      <c r="K10" s="24">
        <f>Шаги!F50</f>
        <v/>
      </c>
      <c r="L10" s="24">
        <f>MAX(ABS(Шаги!E47),ABS(Шаги!E48))</f>
        <v/>
      </c>
    </row>
    <row r="11">
      <c r="B11" s="30" t="n">
        <v>2</v>
      </c>
      <c r="C11" s="31">
        <f>Шаги!$E$75</f>
        <v/>
      </c>
      <c r="D11" s="24">
        <f>Шаги!I85</f>
        <v/>
      </c>
      <c r="E11" s="24">
        <f>Шаги!J85</f>
        <v/>
      </c>
      <c r="F11" s="18">
        <f>"{"&amp;TEXT(Шаги!G67,"0.00")&amp;"; "&amp;TEXT(Шаги!G68,"0.00")&amp;"}"</f>
        <v/>
      </c>
      <c r="G11" s="18">
        <f>"{"&amp;TEXT(Шаги!G69,"0.00")&amp;"; "&amp;TEXT(Шаги!G70,"0.00")&amp;"}"</f>
        <v/>
      </c>
      <c r="H11" s="24">
        <f>Шаги!F81</f>
        <v/>
      </c>
      <c r="I11" s="24">
        <f>Шаги!F82</f>
        <v/>
      </c>
      <c r="J11" s="24">
        <f>Шаги!F83</f>
        <v/>
      </c>
      <c r="K11" s="24">
        <f>Шаги!F84</f>
        <v/>
      </c>
      <c r="L11" s="24">
        <f>MAX(ABS(Шаги!E81),ABS(Шаги!E82))</f>
        <v/>
      </c>
    </row>
    <row r="12">
      <c r="B12" s="30" t="n">
        <v>3</v>
      </c>
      <c r="C12" s="31">
        <f>Шаги!$E$109</f>
        <v/>
      </c>
      <c r="D12" s="24">
        <f>Шаги!I119</f>
        <v/>
      </c>
      <c r="E12" s="24">
        <f>Шаги!J119</f>
        <v/>
      </c>
      <c r="F12" s="18">
        <f>"{"&amp;TEXT(Шаги!G101,"0.00")&amp;"; "&amp;TEXT(Шаги!G102,"0.00")&amp;"}"</f>
        <v/>
      </c>
      <c r="G12" s="18">
        <f>"{"&amp;TEXT(Шаги!G103,"0.00")&amp;"; "&amp;TEXT(Шаги!G104,"0.00")&amp;"}"</f>
        <v/>
      </c>
      <c r="H12" s="24">
        <f>Шаги!F115</f>
        <v/>
      </c>
      <c r="I12" s="24">
        <f>Шаги!F116</f>
        <v/>
      </c>
      <c r="J12" s="24">
        <f>Шаги!F117</f>
        <v/>
      </c>
      <c r="K12" s="24">
        <f>Шаги!F118</f>
        <v/>
      </c>
      <c r="L12" s="24">
        <f>MAX(ABS(Шаги!E115),ABS(Шаги!E116))</f>
        <v/>
      </c>
    </row>
    <row r="13">
      <c r="B13" s="30" t="n">
        <v>4</v>
      </c>
      <c r="C13" s="31">
        <f>Шаги!$E$143</f>
        <v/>
      </c>
      <c r="D13" s="24">
        <f>Шаги!I153</f>
        <v/>
      </c>
      <c r="E13" s="24">
        <f>Шаги!J153</f>
        <v/>
      </c>
      <c r="F13" s="18">
        <f>"{"&amp;TEXT(Шаги!G135,"0.00")&amp;"; "&amp;TEXT(Шаги!G136,"0.00")&amp;"}"</f>
        <v/>
      </c>
      <c r="G13" s="18">
        <f>"{"&amp;TEXT(Шаги!G137,"0.00")&amp;"; "&amp;TEXT(Шаги!G138,"0.00")&amp;"}"</f>
        <v/>
      </c>
      <c r="H13" s="24">
        <f>Шаги!F149</f>
        <v/>
      </c>
      <c r="I13" s="24">
        <f>Шаги!F150</f>
        <v/>
      </c>
      <c r="J13" s="24">
        <f>Шаги!F151</f>
        <v/>
      </c>
      <c r="K13" s="24">
        <f>Шаги!F152</f>
        <v/>
      </c>
      <c r="L13" s="24">
        <f>MAX(ABS(Шаги!E149),ABS(Шаги!E150))</f>
        <v/>
      </c>
    </row>
    <row r="14">
      <c r="B14" s="30" t="n">
        <v>5</v>
      </c>
      <c r="C14" s="31">
        <f>Шаги!$E$177</f>
        <v/>
      </c>
      <c r="D14" s="24">
        <f>Шаги!I187</f>
        <v/>
      </c>
      <c r="E14" s="24">
        <f>Шаги!J187</f>
        <v/>
      </c>
      <c r="F14" s="18">
        <f>"{"&amp;TEXT(Шаги!G169,"0.00")&amp;"; "&amp;TEXT(Шаги!G170,"0.00")&amp;"}"</f>
        <v/>
      </c>
      <c r="G14" s="18">
        <f>"{"&amp;TEXT(Шаги!G171,"0.00")&amp;"; "&amp;TEXT(Шаги!G172,"0.00")&amp;"}"</f>
        <v/>
      </c>
      <c r="H14" s="24">
        <f>Шаги!F183</f>
        <v/>
      </c>
      <c r="I14" s="24">
        <f>Шаги!F184</f>
        <v/>
      </c>
      <c r="J14" s="24">
        <f>Шаги!F185</f>
        <v/>
      </c>
      <c r="K14" s="24">
        <f>Шаги!F186</f>
        <v/>
      </c>
      <c r="L14" s="24">
        <f>MAX(ABS(Шаги!E183),ABS(Шаги!E184))</f>
        <v/>
      </c>
    </row>
    <row r="15">
      <c r="B15" s="30" t="n">
        <v>6</v>
      </c>
      <c r="C15" s="31">
        <f>Шаги!$E$211</f>
        <v/>
      </c>
      <c r="D15" s="24">
        <f>Шаги!I221</f>
        <v/>
      </c>
      <c r="E15" s="24">
        <f>Шаги!J221</f>
        <v/>
      </c>
      <c r="F15" s="18">
        <f>"{"&amp;TEXT(Шаги!G203,"0.00")&amp;"; "&amp;TEXT(Шаги!G204,"0.00")&amp;"}"</f>
        <v/>
      </c>
      <c r="G15" s="18">
        <f>"{"&amp;TEXT(Шаги!G205,"0.00")&amp;"; "&amp;TEXT(Шаги!G206,"0.00")&amp;"}"</f>
        <v/>
      </c>
      <c r="H15" s="24">
        <f>Шаги!F217</f>
        <v/>
      </c>
      <c r="I15" s="24">
        <f>Шаги!F218</f>
        <v/>
      </c>
      <c r="J15" s="24">
        <f>Шаги!F219</f>
        <v/>
      </c>
      <c r="K15" s="24">
        <f>Шаги!F220</f>
        <v/>
      </c>
      <c r="L15" s="24">
        <f>MAX(ABS(Шаги!E217),ABS(Шаги!E218))</f>
        <v/>
      </c>
    </row>
    <row r="16">
      <c r="B16" s="30" t="n">
        <v>7</v>
      </c>
      <c r="C16" s="31">
        <f>Шаги!$E$245</f>
        <v/>
      </c>
      <c r="D16" s="24">
        <f>Шаги!I255</f>
        <v/>
      </c>
      <c r="E16" s="24">
        <f>Шаги!J255</f>
        <v/>
      </c>
      <c r="F16" s="18">
        <f>"{"&amp;TEXT(Шаги!G237,"0.00")&amp;"; "&amp;TEXT(Шаги!G238,"0.00")&amp;"}"</f>
        <v/>
      </c>
      <c r="G16" s="18">
        <f>"{"&amp;TEXT(Шаги!G239,"0.00")&amp;"; "&amp;TEXT(Шаги!G240,"0.00")&amp;"}"</f>
        <v/>
      </c>
      <c r="H16" s="24">
        <f>Шаги!F251</f>
        <v/>
      </c>
      <c r="I16" s="24">
        <f>Шаги!F252</f>
        <v/>
      </c>
      <c r="J16" s="24">
        <f>Шаги!F253</f>
        <v/>
      </c>
      <c r="K16" s="24">
        <f>Шаги!F254</f>
        <v/>
      </c>
      <c r="L16" s="24">
        <f>MAX(ABS(Шаги!E251),ABS(Шаги!E252))</f>
        <v/>
      </c>
    </row>
    <row r="17">
      <c r="B17" s="30" t="n">
        <v>8</v>
      </c>
      <c r="C17" s="31">
        <f>Шаги!$E$279</f>
        <v/>
      </c>
      <c r="D17" s="24">
        <f>Шаги!I289</f>
        <v/>
      </c>
      <c r="E17" s="24">
        <f>Шаги!J289</f>
        <v/>
      </c>
      <c r="F17" s="18">
        <f>"{"&amp;TEXT(Шаги!G271,"0.00")&amp;"; "&amp;TEXT(Шаги!G272,"0.00")&amp;"}"</f>
        <v/>
      </c>
      <c r="G17" s="18">
        <f>"{"&amp;TEXT(Шаги!G273,"0.00")&amp;"; "&amp;TEXT(Шаги!G274,"0.00")&amp;"}"</f>
        <v/>
      </c>
      <c r="H17" s="24">
        <f>Шаги!F285</f>
        <v/>
      </c>
      <c r="I17" s="24">
        <f>Шаги!F286</f>
        <v/>
      </c>
      <c r="J17" s="24">
        <f>Шаги!F287</f>
        <v/>
      </c>
      <c r="K17" s="24">
        <f>Шаги!F288</f>
        <v/>
      </c>
      <c r="L17" s="24">
        <f>MAX(ABS(Шаги!E285),ABS(Шаги!E286))</f>
        <v/>
      </c>
    </row>
    <row r="18">
      <c r="B18" s="30" t="n">
        <v>9</v>
      </c>
      <c r="C18" s="31">
        <f>Шаги!$E$313</f>
        <v/>
      </c>
      <c r="D18" s="24">
        <f>Шаги!I323</f>
        <v/>
      </c>
      <c r="E18" s="24">
        <f>Шаги!J323</f>
        <v/>
      </c>
      <c r="F18" s="18">
        <f>"{"&amp;TEXT(Шаги!G305,"0.00")&amp;"; "&amp;TEXT(Шаги!G306,"0.00")&amp;"}"</f>
        <v/>
      </c>
      <c r="G18" s="18">
        <f>"{"&amp;TEXT(Шаги!G307,"0.00")&amp;"; "&amp;TEXT(Шаги!G308,"0.00")&amp;"}"</f>
        <v/>
      </c>
      <c r="H18" s="24">
        <f>Шаги!F319</f>
        <v/>
      </c>
      <c r="I18" s="24">
        <f>Шаги!F320</f>
        <v/>
      </c>
      <c r="J18" s="24">
        <f>Шаги!F321</f>
        <v/>
      </c>
      <c r="K18" s="24">
        <f>Шаги!F322</f>
        <v/>
      </c>
      <c r="L18" s="24">
        <f>MAX(ABS(Шаги!E319),ABS(Шаги!E320))</f>
        <v/>
      </c>
    </row>
    <row r="19">
      <c r="B19" s="30" t="n">
        <v>10</v>
      </c>
      <c r="C19" s="31">
        <f>Шаги!$E$347</f>
        <v/>
      </c>
      <c r="D19" s="24">
        <f>Шаги!I357</f>
        <v/>
      </c>
      <c r="E19" s="24">
        <f>Шаги!J357</f>
        <v/>
      </c>
      <c r="F19" s="18">
        <f>"{"&amp;TEXT(Шаги!G339,"0.00")&amp;"; "&amp;TEXT(Шаги!G340,"0.00")&amp;"}"</f>
        <v/>
      </c>
      <c r="G19" s="18">
        <f>"{"&amp;TEXT(Шаги!G341,"0.00")&amp;"; "&amp;TEXT(Шаги!G342,"0.00")&amp;"}"</f>
        <v/>
      </c>
      <c r="H19" s="24">
        <f>Шаги!F353</f>
        <v/>
      </c>
      <c r="I19" s="24">
        <f>Шаги!F354</f>
        <v/>
      </c>
      <c r="J19" s="24">
        <f>Шаги!F355</f>
        <v/>
      </c>
      <c r="K19" s="24">
        <f>Шаги!F356</f>
        <v/>
      </c>
      <c r="L19" s="24">
        <f>MAX(ABS(Шаги!E353),ABS(Шаги!E354))</f>
        <v/>
      </c>
    </row>
    <row r="20">
      <c r="B20" s="30" t="n">
        <v>11</v>
      </c>
      <c r="C20" s="31">
        <f>Шаги!$E$381</f>
        <v/>
      </c>
      <c r="D20" s="24">
        <f>Шаги!I391</f>
        <v/>
      </c>
      <c r="E20" s="24">
        <f>Шаги!J391</f>
        <v/>
      </c>
      <c r="F20" s="18">
        <f>"{"&amp;TEXT(Шаги!G373,"0.00")&amp;"; "&amp;TEXT(Шаги!G374,"0.00")&amp;"}"</f>
        <v/>
      </c>
      <c r="G20" s="18">
        <f>"{"&amp;TEXT(Шаги!G375,"0.00")&amp;"; "&amp;TEXT(Шаги!G376,"0.00")&amp;"}"</f>
        <v/>
      </c>
      <c r="H20" s="24">
        <f>Шаги!F387</f>
        <v/>
      </c>
      <c r="I20" s="24">
        <f>Шаги!F388</f>
        <v/>
      </c>
      <c r="J20" s="24">
        <f>Шаги!F389</f>
        <v/>
      </c>
      <c r="K20" s="24">
        <f>Шаги!F390</f>
        <v/>
      </c>
      <c r="L20" s="24">
        <f>MAX(ABS(Шаги!E387),ABS(Шаги!E388))</f>
        <v/>
      </c>
    </row>
    <row r="21">
      <c r="B21" s="30" t="n">
        <v>12</v>
      </c>
      <c r="C21" s="31">
        <f>Шаги!$E$415</f>
        <v/>
      </c>
      <c r="D21" s="24">
        <f>Шаги!I425</f>
        <v/>
      </c>
      <c r="E21" s="24">
        <f>Шаги!J425</f>
        <v/>
      </c>
      <c r="F21" s="18">
        <f>"{"&amp;TEXT(Шаги!G407,"0.00")&amp;"; "&amp;TEXT(Шаги!G408,"0.00")&amp;"}"</f>
        <v/>
      </c>
      <c r="G21" s="18">
        <f>"{"&amp;TEXT(Шаги!G409,"0.00")&amp;"; "&amp;TEXT(Шаги!G410,"0.00")&amp;"}"</f>
        <v/>
      </c>
      <c r="H21" s="24">
        <f>Шаги!F421</f>
        <v/>
      </c>
      <c r="I21" s="24">
        <f>Шаги!F422</f>
        <v/>
      </c>
      <c r="J21" s="24">
        <f>Шаги!F423</f>
        <v/>
      </c>
      <c r="K21" s="24">
        <f>Шаги!F424</f>
        <v/>
      </c>
      <c r="L21" s="24">
        <f>MAX(ABS(Шаги!E421),ABS(Шаги!E422))</f>
        <v/>
      </c>
    </row>
    <row r="22">
      <c r="B22" s="30" t="n">
        <v>13</v>
      </c>
      <c r="C22" s="31">
        <f>Шаги!$E$449</f>
        <v/>
      </c>
      <c r="D22" s="24">
        <f>Шаги!I459</f>
        <v/>
      </c>
      <c r="E22" s="24">
        <f>Шаги!J459</f>
        <v/>
      </c>
      <c r="F22" s="18">
        <f>"{"&amp;TEXT(Шаги!G441,"0.00")&amp;"; "&amp;TEXT(Шаги!G442,"0.00")&amp;"}"</f>
        <v/>
      </c>
      <c r="G22" s="18">
        <f>"{"&amp;TEXT(Шаги!G443,"0.00")&amp;"; "&amp;TEXT(Шаги!G444,"0.00")&amp;"}"</f>
        <v/>
      </c>
      <c r="H22" s="24">
        <f>Шаги!F455</f>
        <v/>
      </c>
      <c r="I22" s="24">
        <f>Шаги!F456</f>
        <v/>
      </c>
      <c r="J22" s="24">
        <f>Шаги!F457</f>
        <v/>
      </c>
      <c r="K22" s="24">
        <f>Шаги!F458</f>
        <v/>
      </c>
      <c r="L22" s="24">
        <f>MAX(ABS(Шаги!E455),ABS(Шаги!E456))</f>
        <v/>
      </c>
    </row>
    <row r="23">
      <c r="B23" s="30" t="n">
        <v>14</v>
      </c>
      <c r="C23" s="31">
        <f>Шаги!$E$483</f>
        <v/>
      </c>
      <c r="D23" s="24">
        <f>Шаги!I493</f>
        <v/>
      </c>
      <c r="E23" s="24">
        <f>Шаги!J493</f>
        <v/>
      </c>
      <c r="F23" s="18">
        <f>"{"&amp;TEXT(Шаги!G475,"0.00")&amp;"; "&amp;TEXT(Шаги!G476,"0.00")&amp;"}"</f>
        <v/>
      </c>
      <c r="G23" s="18">
        <f>"{"&amp;TEXT(Шаги!G477,"0.00")&amp;"; "&amp;TEXT(Шаги!G478,"0.00")&amp;"}"</f>
        <v/>
      </c>
      <c r="H23" s="24">
        <f>Шаги!F489</f>
        <v/>
      </c>
      <c r="I23" s="24">
        <f>Шаги!F490</f>
        <v/>
      </c>
      <c r="J23" s="24">
        <f>Шаги!F491</f>
        <v/>
      </c>
      <c r="K23" s="24">
        <f>Шаги!F492</f>
        <v/>
      </c>
      <c r="L23" s="24">
        <f>MAX(ABS(Шаги!E489),ABS(Шаги!E490))</f>
        <v/>
      </c>
    </row>
    <row r="24">
      <c r="B24" s="30" t="n">
        <v>15</v>
      </c>
      <c r="C24" s="31">
        <f>Шаги!$E$517</f>
        <v/>
      </c>
      <c r="D24" s="24">
        <f>Шаги!I527</f>
        <v/>
      </c>
      <c r="E24" s="24">
        <f>Шаги!J527</f>
        <v/>
      </c>
      <c r="F24" s="18">
        <f>"{"&amp;TEXT(Шаги!G509,"0.00")&amp;"; "&amp;TEXT(Шаги!G510,"0.00")&amp;"}"</f>
        <v/>
      </c>
      <c r="G24" s="18">
        <f>"{"&amp;TEXT(Шаги!G511,"0.00")&amp;"; "&amp;TEXT(Шаги!G512,"0.00")&amp;"}"</f>
        <v/>
      </c>
      <c r="H24" s="24">
        <f>Шаги!F523</f>
        <v/>
      </c>
      <c r="I24" s="24">
        <f>Шаги!F524</f>
        <v/>
      </c>
      <c r="J24" s="24">
        <f>Шаги!F525</f>
        <v/>
      </c>
      <c r="K24" s="24">
        <f>Шаги!F526</f>
        <v/>
      </c>
      <c r="L24" s="24">
        <f>MAX(ABS(Шаги!E523),ABS(Шаги!E524))</f>
        <v/>
      </c>
    </row>
    <row r="25">
      <c r="B25" s="30" t="n">
        <v>16</v>
      </c>
      <c r="C25" s="31">
        <f>Шаги!$E$551</f>
        <v/>
      </c>
      <c r="D25" s="24">
        <f>Шаги!I561</f>
        <v/>
      </c>
      <c r="E25" s="24">
        <f>Шаги!J561</f>
        <v/>
      </c>
      <c r="F25" s="18">
        <f>"{"&amp;TEXT(Шаги!G543,"0.00")&amp;"; "&amp;TEXT(Шаги!G544,"0.00")&amp;"}"</f>
        <v/>
      </c>
      <c r="G25" s="18">
        <f>"{"&amp;TEXT(Шаги!G545,"0.00")&amp;"; "&amp;TEXT(Шаги!G546,"0.00")&amp;"}"</f>
        <v/>
      </c>
      <c r="H25" s="24">
        <f>Шаги!F557</f>
        <v/>
      </c>
      <c r="I25" s="24">
        <f>Шаги!F558</f>
        <v/>
      </c>
      <c r="J25" s="24">
        <f>Шаги!F559</f>
        <v/>
      </c>
      <c r="K25" s="24">
        <f>Шаги!F560</f>
        <v/>
      </c>
      <c r="L25" s="24">
        <f>MAX(ABS(Шаги!E557),ABS(Шаги!E558))</f>
        <v/>
      </c>
    </row>
    <row r="26">
      <c r="B26" s="30" t="n">
        <v>17</v>
      </c>
      <c r="C26" s="31">
        <f>Шаги!$E$585</f>
        <v/>
      </c>
      <c r="D26" s="24">
        <f>Шаги!I595</f>
        <v/>
      </c>
      <c r="E26" s="24">
        <f>Шаги!J595</f>
        <v/>
      </c>
      <c r="F26" s="18">
        <f>"{"&amp;TEXT(Шаги!G577,"0.00")&amp;"; "&amp;TEXT(Шаги!G578,"0.00")&amp;"}"</f>
        <v/>
      </c>
      <c r="G26" s="18">
        <f>"{"&amp;TEXT(Шаги!G579,"0.00")&amp;"; "&amp;TEXT(Шаги!G580,"0.00")&amp;"}"</f>
        <v/>
      </c>
      <c r="H26" s="24">
        <f>Шаги!F591</f>
        <v/>
      </c>
      <c r="I26" s="24">
        <f>Шаги!F592</f>
        <v/>
      </c>
      <c r="J26" s="24">
        <f>Шаги!F593</f>
        <v/>
      </c>
      <c r="K26" s="24">
        <f>Шаги!F594</f>
        <v/>
      </c>
      <c r="L26" s="24">
        <f>MAX(ABS(Шаги!E591),ABS(Шаги!E592))</f>
        <v/>
      </c>
    </row>
    <row r="27">
      <c r="B27" s="30" t="n">
        <v>18</v>
      </c>
      <c r="C27" s="31">
        <f>Шаги!$E$619</f>
        <v/>
      </c>
      <c r="D27" s="24">
        <f>Шаги!I629</f>
        <v/>
      </c>
      <c r="E27" s="24">
        <f>Шаги!J629</f>
        <v/>
      </c>
      <c r="F27" s="18">
        <f>"{"&amp;TEXT(Шаги!G611,"0.00")&amp;"; "&amp;TEXT(Шаги!G612,"0.00")&amp;"}"</f>
        <v/>
      </c>
      <c r="G27" s="18">
        <f>"{"&amp;TEXT(Шаги!G613,"0.00")&amp;"; "&amp;TEXT(Шаги!G614,"0.00")&amp;"}"</f>
        <v/>
      </c>
      <c r="H27" s="24">
        <f>Шаги!F625</f>
        <v/>
      </c>
      <c r="I27" s="24">
        <f>Шаги!F626</f>
        <v/>
      </c>
      <c r="J27" s="24">
        <f>Шаги!F627</f>
        <v/>
      </c>
      <c r="K27" s="24">
        <f>Шаги!F628</f>
        <v/>
      </c>
      <c r="L27" s="24">
        <f>MAX(ABS(Шаги!E625),ABS(Шаги!E626))</f>
        <v/>
      </c>
    </row>
    <row r="28">
      <c r="B28" s="30" t="n">
        <v>19</v>
      </c>
      <c r="C28" s="31">
        <f>Шаги!$E$653</f>
        <v/>
      </c>
      <c r="D28" s="24">
        <f>Шаги!I663</f>
        <v/>
      </c>
      <c r="E28" s="24">
        <f>Шаги!J663</f>
        <v/>
      </c>
      <c r="F28" s="18">
        <f>"{"&amp;TEXT(Шаги!G645,"0.00")&amp;"; "&amp;TEXT(Шаги!G646,"0.00")&amp;"}"</f>
        <v/>
      </c>
      <c r="G28" s="18">
        <f>"{"&amp;TEXT(Шаги!G647,"0.00")&amp;"; "&amp;TEXT(Шаги!G648,"0.00")&amp;"}"</f>
        <v/>
      </c>
      <c r="H28" s="24">
        <f>Шаги!F659</f>
        <v/>
      </c>
      <c r="I28" s="24">
        <f>Шаги!F660</f>
        <v/>
      </c>
      <c r="J28" s="24">
        <f>Шаги!F661</f>
        <v/>
      </c>
      <c r="K28" s="24">
        <f>Шаги!F662</f>
        <v/>
      </c>
      <c r="L28" s="24">
        <f>MAX(ABS(Шаги!E659),ABS(Шаги!E660))</f>
        <v/>
      </c>
    </row>
    <row r="29">
      <c r="B29" s="30" t="n">
        <v>20</v>
      </c>
      <c r="C29" s="31">
        <f>Шаги!$E$687</f>
        <v/>
      </c>
      <c r="D29" s="24">
        <f>Шаги!I697</f>
        <v/>
      </c>
      <c r="E29" s="24">
        <f>Шаги!J697</f>
        <v/>
      </c>
      <c r="F29" s="18">
        <f>"{"&amp;TEXT(Шаги!G679,"0.00")&amp;"; "&amp;TEXT(Шаги!G680,"0.00")&amp;"}"</f>
        <v/>
      </c>
      <c r="G29" s="18">
        <f>"{"&amp;TEXT(Шаги!G681,"0.00")&amp;"; "&amp;TEXT(Шаги!G682,"0.00")&amp;"}"</f>
        <v/>
      </c>
      <c r="H29" s="24">
        <f>Шаги!F693</f>
        <v/>
      </c>
      <c r="I29" s="24">
        <f>Шаги!F694</f>
        <v/>
      </c>
      <c r="J29" s="24">
        <f>Шаги!F695</f>
        <v/>
      </c>
      <c r="K29" s="24">
        <f>Шаги!F696</f>
        <v/>
      </c>
      <c r="L29" s="24">
        <f>MAX(ABS(Шаги!E693),ABS(Шаги!E694))</f>
        <v/>
      </c>
    </row>
    <row r="31" ht="46" customHeight="1">
      <c r="B31" s="21">
        <f>"Читать так: колонка побеждает, пока её невыученный вклад больше вклада соседки. С ν = "&amp;TEXT(Шаги!$D$8,"0.00")&amp;" экран держится первые шаги, затем колонки чередуются, и Σ|rᵢ| убывает геометрически — в логарифмической шкале это прямая линия. Цвет в столбце «Выбрана колонка»: синий — экран, оранжевый — SSD; полоски — величина ошибки и размер поправки."</f>
        <v/>
      </c>
    </row>
  </sheetData>
  <mergeCells count="4">
    <mergeCell ref="B2:L2"/>
    <mergeCell ref="B6:D6"/>
    <mergeCell ref="B5:D5"/>
    <mergeCell ref="B31:I31"/>
  </mergeCells>
  <conditionalFormatting sqref="C10:C29">
    <cfRule type="cellIs" priority="1" operator="equal" dxfId="1">
      <formula>"экран"</formula>
    </cfRule>
    <cfRule type="cellIs" priority="2" operator="equal" dxfId="2">
      <formula>"SSD"</formula>
    </cfRule>
  </conditionalFormatting>
  <conditionalFormatting sqref="D9:D29">
    <cfRule type="dataBar" priority="3">
      <dataBar>
        <cfvo type="num" val="0"/>
        <cfvo type="max"/>
        <color rgb="00A9D18E"/>
      </dataBar>
    </cfRule>
  </conditionalFormatting>
  <conditionalFormatting sqref="L9:L29">
    <cfRule type="dataBar" priority="4">
      <dataBar>
        <cfvo type="num" val="0"/>
        <cfvo type="max"/>
        <color rgb="009DC3E6"/>
      </dataBar>
    </cfRule>
  </conditionalFormatting>
  <hyperlinks>
    <hyperlink ref="B3" location="'Содержание'!A1" display="← Содержание"/>
    <hyperlink ref="D3" location="'Шаги'!A1" display="Шаги →"/>
    <hyperlink ref="F3" location="'Теория'!A1" display="Теория →"/>
    <hyperlink ref="B10" location="'Шаги'!B19" display="1"/>
    <hyperlink ref="B11" location="'Шаги'!B53" display="2"/>
    <hyperlink ref="B12" location="'Шаги'!B87" display="3"/>
    <hyperlink ref="B13" location="'Шаги'!B121" display="4"/>
    <hyperlink ref="B14" location="'Шаги'!B155" display="5"/>
    <hyperlink ref="B15" location="'Шаги'!B189" display="6"/>
    <hyperlink ref="B16" location="'Шаги'!B223" display="7"/>
    <hyperlink ref="B17" location="'Шаги'!B257" display="8"/>
    <hyperlink ref="B18" location="'Шаги'!B291" display="9"/>
    <hyperlink ref="B19" location="'Шаги'!B325" display="10"/>
    <hyperlink ref="B20" location="'Шаги'!B359" display="11"/>
    <hyperlink ref="B21" location="'Шаги'!B393" display="12"/>
    <hyperlink ref="B22" location="'Шаги'!B427" display="13"/>
    <hyperlink ref="B23" location="'Шаги'!B461" display="14"/>
    <hyperlink ref="B24" location="'Шаги'!B495" display="15"/>
    <hyperlink ref="B25" location="'Шаги'!B529" display="16"/>
    <hyperlink ref="B26" location="'Шаги'!B563" display="17"/>
    <hyperlink ref="B27" location="'Шаги'!B597" display="18"/>
    <hyperlink ref="B28" location="'Шаги'!B631" display="19"/>
    <hyperlink ref="B29" location="'Шаги'!B665" display="20"/>
  </hyperlink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2026-10-12T09:28:42Z</dcterms:created>
  <dcterms:modified xmlns:dcterms="http://purl.org/dc/terms/" xmlns:xsi="http://www.w3.org/2001/XMLSchema-instance" xsi:type="dcterms:W3CDTF">2026-10-12T09:28:42Z</dcterms:modified>
</cp:coreProperties>
</file>